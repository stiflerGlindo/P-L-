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" sheetId="1" r:id="rId5"/>
  </sheets>
  <definedNames/>
  <calcPr/>
</workbook>
</file>

<file path=xl/sharedStrings.xml><?xml version="1.0" encoding="utf-8"?>
<sst xmlns="http://schemas.openxmlformats.org/spreadsheetml/2006/main" count="162" uniqueCount="28">
  <si>
    <t>Fisico</t>
  </si>
  <si>
    <t>Rappi</t>
  </si>
  <si>
    <t>Rappi + Salon</t>
  </si>
  <si>
    <t>%</t>
  </si>
  <si>
    <t>Ventas</t>
  </si>
  <si>
    <t>Food Cost</t>
  </si>
  <si>
    <t>Costo de Comida</t>
  </si>
  <si>
    <t>Empaques</t>
  </si>
  <si>
    <t xml:space="preserve"> </t>
  </si>
  <si>
    <t xml:space="preserve">Comision </t>
  </si>
  <si>
    <t>IVA</t>
  </si>
  <si>
    <t>Campaña comercial</t>
  </si>
  <si>
    <t>ADS</t>
  </si>
  <si>
    <t>Contribucion Marginal</t>
  </si>
  <si>
    <t xml:space="preserve">Arriendo </t>
  </si>
  <si>
    <t xml:space="preserve">Personal </t>
  </si>
  <si>
    <t>Servicos</t>
  </si>
  <si>
    <t xml:space="preserve">Otros </t>
  </si>
  <si>
    <t>Costos Fijos</t>
  </si>
  <si>
    <t>EBITDA</t>
  </si>
  <si>
    <t>incremental</t>
  </si>
  <si>
    <t xml:space="preserve">Incremento en Caja </t>
  </si>
  <si>
    <t>P1</t>
  </si>
  <si>
    <t>P0</t>
  </si>
  <si>
    <t>TR 18% + 7% MD</t>
  </si>
  <si>
    <t>Impocosumo</t>
  </si>
  <si>
    <t>Ica</t>
  </si>
  <si>
    <t>Ventas Netas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</si>
</sst>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$]#,##0.00"/>
  </numFmts>
  <fonts count="10">
    <font>
      <sz val="10.0"/>
      <color rgb="FF000000"/>
      <name val="Arial"/>
      <scheme val="minor"/>
    </font>
    <font>
      <b/>
      <sz val="11.0"/>
      <color theme="1"/>
      <name val="Poppins"/>
    </font>
    <font>
      <sz val="11.0"/>
      <color theme="1"/>
      <name val="Poppins"/>
    </font>
    <font>
      <color theme="1"/>
      <name val="Poppins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Poppins"/>
    </font>
    <font>
      <sz val="11.0"/>
      <color rgb="FF000000"/>
      <name val="Poppins"/>
    </font>
    <font>
      <sz val="11.0"/>
      <color theme="1"/>
      <name val="Comfortaa"/>
    </font>
    <font>
      <b/>
      <sz val="11.0"/>
      <color theme="1"/>
      <name val="Comfortaa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3" fontId="5" numFmtId="0" xfId="0" applyAlignment="1" applyFill="1" applyFont="1">
      <alignment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Font="1"/>
    <xf borderId="0" fillId="0" fontId="3" numFmtId="164" xfId="0" applyFont="1" applyNumberFormat="1"/>
    <xf borderId="0" fillId="4" fontId="2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64" xfId="0" applyBorder="1" applyFont="1" applyNumberFormat="1"/>
    <xf borderId="1" fillId="4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0" xfId="0" applyBorder="1" applyFont="1" applyNumberFormat="1"/>
    <xf borderId="0" fillId="2" fontId="6" numFmtId="0" xfId="0" applyAlignment="1" applyFont="1">
      <alignment readingOrder="0"/>
    </xf>
    <xf borderId="0" fillId="0" fontId="6" numFmtId="164" xfId="0" applyFont="1" applyNumberFormat="1"/>
    <xf borderId="0" fillId="0" fontId="6" numFmtId="10" xfId="0" applyFont="1" applyNumberFormat="1"/>
    <xf borderId="0" fillId="0" fontId="7" numFmtId="0" xfId="0" applyFont="1"/>
    <xf borderId="0" fillId="0" fontId="6" numFmtId="10" xfId="0" applyAlignment="1" applyFont="1" applyNumberFormat="1">
      <alignment readingOrder="0"/>
    </xf>
    <xf borderId="0" fillId="5" fontId="2" numFmtId="10" xfId="0" applyFill="1" applyFont="1" applyNumberFormat="1"/>
    <xf borderId="1" fillId="5" fontId="2" numFmtId="10" xfId="0" applyBorder="1" applyFont="1" applyNumberFormat="1"/>
    <xf borderId="0" fillId="2" fontId="1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5" fontId="1" numFmtId="10" xfId="0" applyFont="1" applyNumberFormat="1"/>
    <xf borderId="0" fillId="7" fontId="1" numFmtId="0" xfId="0" applyAlignment="1" applyFill="1" applyFont="1">
      <alignment readingOrder="0"/>
    </xf>
    <xf borderId="0" fillId="7" fontId="1" numFmtId="164" xfId="0" applyFont="1" applyNumberFormat="1"/>
    <xf borderId="0" fillId="7" fontId="1" numFmtId="10" xfId="0" applyFont="1" applyNumberFormat="1"/>
    <xf borderId="0" fillId="0" fontId="8" numFmtId="0" xfId="0" applyFont="1"/>
    <xf borderId="0" fillId="0" fontId="8" numFmtId="164" xfId="0" applyFont="1" applyNumberFormat="1"/>
    <xf borderId="0" fillId="0" fontId="8" numFmtId="10" xfId="0" applyFont="1" applyNumberFormat="1"/>
    <xf borderId="0" fillId="5" fontId="8" numFmtId="164" xfId="0" applyFont="1" applyNumberForma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8" fontId="9" numFmtId="0" xfId="0" applyAlignment="1" applyFill="1" applyFont="1">
      <alignment readingOrder="0"/>
    </xf>
    <xf borderId="0" fillId="8" fontId="9" numFmtId="10" xfId="0" applyFont="1" applyNumberFormat="1"/>
    <xf borderId="0" fillId="0" fontId="5" numFmtId="9" xfId="0" applyAlignment="1" applyFont="1" applyNumberFormat="1">
      <alignment readingOrder="0"/>
    </xf>
    <xf borderId="0" fillId="0" fontId="5" numFmtId="10" xfId="0" applyFont="1" applyNumberFormat="1"/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9" xfId="0" applyFont="1" applyNumberFormat="1"/>
    <xf borderId="0" fillId="0" fontId="5" numFmtId="10" xfId="0" applyAlignment="1" applyFont="1" applyNumberFormat="1">
      <alignment readingOrder="0"/>
    </xf>
    <xf borderId="0" fillId="9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165" xfId="0" applyAlignment="1" applyBorder="1" applyFont="1" applyNumberFormat="1">
      <alignment readingOrder="0"/>
    </xf>
    <xf borderId="1" fillId="0" fontId="5" numFmtId="10" xfId="0" applyAlignment="1" applyBorder="1" applyFont="1" applyNumberFormat="1">
      <alignment readingOrder="0"/>
    </xf>
    <xf borderId="1" fillId="0" fontId="5" numFmtId="164" xfId="0" applyBorder="1" applyFont="1" applyNumberFormat="1"/>
    <xf borderId="1" fillId="0" fontId="5" numFmtId="10" xfId="0" applyBorder="1" applyFont="1" applyNumberFormat="1"/>
    <xf borderId="0" fillId="0" fontId="4" numFmtId="164" xfId="0" applyFont="1" applyNumberFormat="1"/>
    <xf borderId="0" fillId="0" fontId="4" numFmtId="10" xfId="0" applyFont="1" applyNumberFormat="1"/>
    <xf borderId="0" fillId="0" fontId="4" numFmtId="10" xfId="0" applyAlignment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10" fontId="4" numFmtId="0" xfId="0" applyAlignment="1" applyFill="1" applyFont="1">
      <alignment readingOrder="0"/>
    </xf>
    <xf borderId="0" fillId="10" fontId="4" numFmtId="164" xfId="0" applyFont="1" applyNumberFormat="1"/>
    <xf borderId="0" fillId="10" fontId="4" numFmtId="10" xfId="0" applyFont="1" applyNumberFormat="1"/>
    <xf borderId="0" fillId="11" fontId="4" numFmtId="0" xfId="0" applyAlignment="1" applyFill="1" applyFont="1">
      <alignment readingOrder="0"/>
    </xf>
    <xf borderId="0" fillId="11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8.0"/>
    <col customWidth="1" min="4" max="4" width="22.88"/>
    <col customWidth="1" min="6" max="6" width="9.25"/>
    <col customWidth="1" min="7" max="7" width="7.13"/>
    <col customWidth="1" min="8" max="8" width="22.88"/>
    <col customWidth="1" min="9" max="9" width="12.38"/>
    <col customWidth="1" min="10" max="10" width="14.13"/>
    <col customWidth="1" min="11" max="11" width="7.13"/>
    <col customWidth="1" min="12" max="12" width="22.25"/>
    <col customWidth="1" min="14" max="14" width="11.38"/>
    <col customWidth="1" min="16" max="16" width="18.63"/>
    <col customWidth="1" min="17" max="17" width="12.5"/>
    <col customWidth="1" min="18" max="18" width="7.5"/>
    <col customWidth="1" min="19" max="19" width="4.38"/>
    <col customWidth="1" min="20" max="20" width="18.63"/>
    <col customWidth="1" min="21" max="21" width="12.5"/>
    <col customWidth="1" min="22" max="22" width="7.5"/>
    <col customWidth="1" min="23" max="23" width="4.38"/>
    <col customWidth="1" min="24" max="24" width="18.63"/>
    <col customWidth="1" min="25" max="25" width="12.5"/>
    <col customWidth="1" min="26" max="26" width="7.5"/>
  </cols>
  <sheetData>
    <row r="3">
      <c r="D3" s="1" t="s">
        <v>0</v>
      </c>
      <c r="G3" s="2"/>
      <c r="H3" s="1" t="s">
        <v>1</v>
      </c>
      <c r="K3" s="2"/>
      <c r="L3" s="1" t="s">
        <v>2</v>
      </c>
      <c r="O3" s="3"/>
    </row>
    <row r="4">
      <c r="D4" s="2"/>
      <c r="E4" s="2"/>
      <c r="F4" s="4" t="s">
        <v>3</v>
      </c>
      <c r="G4" s="2"/>
      <c r="H4" s="2"/>
      <c r="I4" s="2"/>
      <c r="J4" s="4" t="s">
        <v>3</v>
      </c>
      <c r="K4" s="2"/>
      <c r="L4" s="2"/>
      <c r="M4" s="2"/>
      <c r="N4" s="4" t="s">
        <v>3</v>
      </c>
      <c r="O4" s="3"/>
    </row>
    <row r="5">
      <c r="A5" s="5"/>
      <c r="B5" s="6"/>
      <c r="C5" s="7"/>
      <c r="D5" s="8" t="s">
        <v>4</v>
      </c>
      <c r="E5" s="9">
        <v>1.0E7</v>
      </c>
      <c r="F5" s="10"/>
      <c r="G5" s="2"/>
      <c r="H5" s="8" t="s">
        <v>4</v>
      </c>
      <c r="I5" s="9">
        <v>1.0E7</v>
      </c>
      <c r="J5" s="10"/>
      <c r="K5" s="2"/>
      <c r="L5" s="8" t="s">
        <v>4</v>
      </c>
      <c r="M5" s="9">
        <v>2.0E7</v>
      </c>
      <c r="N5" s="2"/>
      <c r="O5" s="3"/>
    </row>
    <row r="6">
      <c r="B6" s="11" t="s">
        <v>5</v>
      </c>
      <c r="C6" s="7"/>
      <c r="D6" s="8" t="s">
        <v>6</v>
      </c>
      <c r="E6" s="12">
        <f>E5*F6</f>
        <v>3000000</v>
      </c>
      <c r="F6" s="13">
        <v>0.3</v>
      </c>
      <c r="G6" s="2"/>
      <c r="H6" s="8" t="s">
        <v>6</v>
      </c>
      <c r="I6" s="12">
        <f>I5*0.35</f>
        <v>3500000</v>
      </c>
      <c r="J6" s="13">
        <v>0.35</v>
      </c>
      <c r="K6" s="2"/>
      <c r="L6" s="8" t="s">
        <v>6</v>
      </c>
      <c r="M6" s="12">
        <f t="shared" ref="M6:M7" si="1">E6+I6</f>
        <v>6500000</v>
      </c>
      <c r="N6" s="10">
        <f>M6/$M$5</f>
        <v>0.325</v>
      </c>
      <c r="O6" s="3"/>
    </row>
    <row r="7">
      <c r="A7" s="5"/>
      <c r="B7" s="5"/>
      <c r="D7" s="8" t="s">
        <v>7</v>
      </c>
      <c r="E7" s="14">
        <v>0.0</v>
      </c>
      <c r="F7" s="13">
        <v>0.05</v>
      </c>
      <c r="G7" s="2"/>
      <c r="H7" s="8" t="s">
        <v>7</v>
      </c>
      <c r="I7" s="12">
        <f>I5*J7</f>
        <v>500000</v>
      </c>
      <c r="J7" s="13">
        <v>0.05</v>
      </c>
      <c r="K7" s="8" t="s">
        <v>8</v>
      </c>
      <c r="L7" s="8" t="s">
        <v>7</v>
      </c>
      <c r="M7" s="12">
        <f t="shared" si="1"/>
        <v>500000</v>
      </c>
      <c r="N7" s="13">
        <v>0.05</v>
      </c>
      <c r="O7" s="3"/>
    </row>
    <row r="8">
      <c r="A8" s="5"/>
      <c r="B8" s="15"/>
      <c r="C8" s="7"/>
      <c r="D8" s="8" t="s">
        <v>9</v>
      </c>
      <c r="E8" s="14">
        <v>0.0</v>
      </c>
      <c r="F8" s="13">
        <v>0.2</v>
      </c>
      <c r="G8" s="2"/>
      <c r="H8" s="8" t="s">
        <v>9</v>
      </c>
      <c r="I8" s="9">
        <f>I5*J8</f>
        <v>2300000</v>
      </c>
      <c r="J8" s="13">
        <v>0.23</v>
      </c>
      <c r="K8" s="2"/>
      <c r="L8" s="8" t="s">
        <v>9</v>
      </c>
      <c r="M8" s="9"/>
      <c r="N8" s="13">
        <v>0.21</v>
      </c>
      <c r="O8" s="3"/>
    </row>
    <row r="9">
      <c r="D9" s="8" t="s">
        <v>10</v>
      </c>
      <c r="E9" s="14">
        <v>0.0</v>
      </c>
      <c r="F9" s="13">
        <v>0.19</v>
      </c>
      <c r="G9" s="2"/>
      <c r="H9" s="8" t="s">
        <v>10</v>
      </c>
      <c r="I9" s="16">
        <f>I8*0.18</f>
        <v>414000</v>
      </c>
      <c r="J9" s="13">
        <v>0.19</v>
      </c>
      <c r="K9" s="2"/>
      <c r="L9" s="8" t="s">
        <v>10</v>
      </c>
      <c r="M9" s="16">
        <f>M8*0.19</f>
        <v>0</v>
      </c>
      <c r="N9" s="13">
        <v>0.19</v>
      </c>
      <c r="O9" s="16">
        <f>M8*0.19</f>
        <v>0</v>
      </c>
    </row>
    <row r="10">
      <c r="C10" s="7"/>
      <c r="D10" s="8" t="s">
        <v>11</v>
      </c>
      <c r="E10" s="14">
        <v>0.0</v>
      </c>
      <c r="F10" s="13">
        <v>0.03</v>
      </c>
      <c r="G10" s="8"/>
      <c r="H10" s="8" t="s">
        <v>11</v>
      </c>
      <c r="I10" s="9">
        <v>0.0</v>
      </c>
      <c r="J10" s="13">
        <v>0.03</v>
      </c>
      <c r="K10" s="2"/>
      <c r="L10" s="17" t="s">
        <v>11</v>
      </c>
      <c r="M10" s="9">
        <v>0.0</v>
      </c>
      <c r="N10" s="13">
        <v>0.03</v>
      </c>
      <c r="O10" s="3"/>
    </row>
    <row r="11">
      <c r="C11" s="7"/>
      <c r="D11" s="18" t="s">
        <v>12</v>
      </c>
      <c r="E11" s="19">
        <v>0.0</v>
      </c>
      <c r="F11" s="20">
        <v>0.0</v>
      </c>
      <c r="G11" s="8"/>
      <c r="H11" s="18" t="s">
        <v>12</v>
      </c>
      <c r="I11" s="21">
        <f>J11*I5</f>
        <v>0</v>
      </c>
      <c r="J11" s="13">
        <v>0.0</v>
      </c>
      <c r="K11" s="2"/>
      <c r="L11" s="22" t="s">
        <v>12</v>
      </c>
      <c r="M11" s="23">
        <v>0.0</v>
      </c>
      <c r="N11" s="24">
        <f t="shared" ref="N11:N12" si="2">M11/$M$5</f>
        <v>0</v>
      </c>
      <c r="O11" s="3"/>
    </row>
    <row r="12">
      <c r="C12" s="7"/>
      <c r="D12" s="25" t="s">
        <v>13</v>
      </c>
      <c r="E12" s="26">
        <f>E5-E6</f>
        <v>7000000</v>
      </c>
      <c r="F12" s="27">
        <f>E12/E5</f>
        <v>0.7</v>
      </c>
      <c r="G12" s="28"/>
      <c r="H12" s="25" t="s">
        <v>13</v>
      </c>
      <c r="I12" s="26">
        <f>I5-I6-I7-I8-I9-I10-I11</f>
        <v>3286000</v>
      </c>
      <c r="J12" s="29">
        <f>I12/I5</f>
        <v>0.3286</v>
      </c>
      <c r="K12" s="28"/>
      <c r="L12" s="25" t="s">
        <v>13</v>
      </c>
      <c r="M12" s="26">
        <f>M5-M6-M7-M8-M9-M10-M11</f>
        <v>13000000</v>
      </c>
      <c r="N12" s="27">
        <f t="shared" si="2"/>
        <v>0.65</v>
      </c>
      <c r="O12" s="3"/>
    </row>
    <row r="13">
      <c r="C13" s="7"/>
      <c r="D13" s="2"/>
      <c r="E13" s="2"/>
      <c r="F13" s="2"/>
      <c r="G13" s="2"/>
      <c r="H13" s="2"/>
      <c r="I13" s="12"/>
      <c r="J13" s="13"/>
      <c r="K13" s="2"/>
      <c r="L13" s="2"/>
      <c r="M13" s="12"/>
      <c r="N13" s="10"/>
      <c r="O13" s="3"/>
    </row>
    <row r="14">
      <c r="C14" s="7"/>
      <c r="D14" s="8" t="s">
        <v>14</v>
      </c>
      <c r="E14" s="12">
        <f>F14*E5</f>
        <v>1500000</v>
      </c>
      <c r="F14" s="13">
        <v>0.15</v>
      </c>
      <c r="G14" s="2"/>
      <c r="H14" s="8" t="s">
        <v>15</v>
      </c>
      <c r="I14" s="9">
        <v>0.0</v>
      </c>
      <c r="J14" s="13">
        <v>0.02</v>
      </c>
      <c r="K14" s="2"/>
      <c r="L14" s="8" t="s">
        <v>14</v>
      </c>
      <c r="M14" s="12">
        <f t="shared" ref="M14:M17" si="3">E14+I14</f>
        <v>1500000</v>
      </c>
      <c r="N14" s="30">
        <f t="shared" ref="N14:N18" si="4">M14/$M$5</f>
        <v>0.075</v>
      </c>
      <c r="O14" s="3"/>
    </row>
    <row r="15">
      <c r="C15" s="7"/>
      <c r="D15" s="8" t="s">
        <v>15</v>
      </c>
      <c r="E15" s="12">
        <f>F15*E5</f>
        <v>2000000</v>
      </c>
      <c r="F15" s="13">
        <v>0.2</v>
      </c>
      <c r="G15" s="2"/>
      <c r="H15" s="8" t="s">
        <v>14</v>
      </c>
      <c r="I15" s="9">
        <v>0.0</v>
      </c>
      <c r="J15" s="13">
        <v>0.2</v>
      </c>
      <c r="K15" s="2"/>
      <c r="L15" s="8" t="s">
        <v>15</v>
      </c>
      <c r="M15" s="12">
        <f t="shared" si="3"/>
        <v>2000000</v>
      </c>
      <c r="N15" s="30">
        <f t="shared" si="4"/>
        <v>0.1</v>
      </c>
      <c r="O15" s="3"/>
    </row>
    <row r="16">
      <c r="D16" s="8" t="s">
        <v>16</v>
      </c>
      <c r="E16" s="12">
        <f>E12*F16</f>
        <v>1050000</v>
      </c>
      <c r="F16" s="13">
        <v>0.15</v>
      </c>
      <c r="G16" s="2"/>
      <c r="H16" s="8" t="s">
        <v>16</v>
      </c>
      <c r="I16" s="9">
        <v>0.0</v>
      </c>
      <c r="J16" s="13">
        <v>0.15</v>
      </c>
      <c r="K16" s="2"/>
      <c r="L16" s="8" t="s">
        <v>16</v>
      </c>
      <c r="M16" s="12">
        <f t="shared" si="3"/>
        <v>1050000</v>
      </c>
      <c r="N16" s="30">
        <f t="shared" si="4"/>
        <v>0.0525</v>
      </c>
      <c r="O16" s="3"/>
    </row>
    <row r="17">
      <c r="D17" s="18" t="s">
        <v>17</v>
      </c>
      <c r="E17" s="21">
        <f>E12*F17</f>
        <v>350000</v>
      </c>
      <c r="F17" s="20">
        <v>0.05</v>
      </c>
      <c r="G17" s="2"/>
      <c r="H17" s="18" t="s">
        <v>17</v>
      </c>
      <c r="I17" s="23">
        <v>0.0</v>
      </c>
      <c r="J17" s="20">
        <v>0.05</v>
      </c>
      <c r="K17" s="2"/>
      <c r="L17" s="18" t="s">
        <v>17</v>
      </c>
      <c r="M17" s="21">
        <f t="shared" si="3"/>
        <v>350000</v>
      </c>
      <c r="N17" s="31">
        <f t="shared" si="4"/>
        <v>0.0175</v>
      </c>
      <c r="O17" s="3"/>
    </row>
    <row r="18">
      <c r="D18" s="32" t="s">
        <v>18</v>
      </c>
      <c r="E18" s="33">
        <f>SUM(E14:E17)</f>
        <v>4900000</v>
      </c>
      <c r="F18" s="34">
        <v>0.245</v>
      </c>
      <c r="G18" s="2"/>
      <c r="H18" s="35" t="s">
        <v>18</v>
      </c>
      <c r="I18" s="36">
        <f>I14+I15+I16+I17</f>
        <v>0</v>
      </c>
      <c r="J18" s="37">
        <f>I18/I5</f>
        <v>0</v>
      </c>
      <c r="K18" s="2"/>
      <c r="L18" s="38" t="s">
        <v>18</v>
      </c>
      <c r="M18" s="33">
        <f>M14+M15+M16+M17</f>
        <v>4900000</v>
      </c>
      <c r="N18" s="39">
        <f t="shared" si="4"/>
        <v>0.245</v>
      </c>
      <c r="O18" s="3"/>
    </row>
    <row r="19">
      <c r="D19" s="8"/>
      <c r="E19" s="12"/>
      <c r="F19" s="10"/>
      <c r="G19" s="2"/>
      <c r="H19" s="8"/>
      <c r="I19" s="9"/>
      <c r="J19" s="10"/>
      <c r="K19" s="2"/>
      <c r="L19" s="8"/>
      <c r="M19" s="2"/>
      <c r="N19" s="2"/>
      <c r="O19" s="3"/>
    </row>
    <row r="20">
      <c r="D20" s="40" t="s">
        <v>19</v>
      </c>
      <c r="E20" s="41">
        <f>E12-E18</f>
        <v>2100000</v>
      </c>
      <c r="F20" s="42">
        <f>E20/E5</f>
        <v>0.21</v>
      </c>
      <c r="G20" s="2"/>
      <c r="H20" s="40" t="s">
        <v>19</v>
      </c>
      <c r="I20" s="41">
        <f>I12-I18</f>
        <v>3286000</v>
      </c>
      <c r="J20" s="42">
        <f>I20/I5</f>
        <v>0.3286</v>
      </c>
      <c r="K20" s="2"/>
      <c r="L20" s="40" t="s">
        <v>19</v>
      </c>
      <c r="M20" s="41">
        <f>M12-M18</f>
        <v>8100000</v>
      </c>
      <c r="N20" s="42">
        <f>M20/M5</f>
        <v>0.405</v>
      </c>
      <c r="O20" s="3"/>
    </row>
    <row r="21">
      <c r="D21" s="43"/>
      <c r="E21" s="44"/>
      <c r="F21" s="45"/>
      <c r="G21" s="43"/>
      <c r="H21" s="43"/>
      <c r="I21" s="43"/>
      <c r="J21" s="43"/>
      <c r="K21" s="43"/>
      <c r="L21" s="43"/>
      <c r="M21" s="46">
        <f>M20-E20</f>
        <v>6000000</v>
      </c>
      <c r="N21" s="43"/>
    </row>
    <row r="22">
      <c r="D22" s="43"/>
      <c r="E22" s="43"/>
      <c r="F22" s="47"/>
      <c r="G22" s="43"/>
      <c r="H22" s="43"/>
      <c r="I22" s="48" t="s">
        <v>20</v>
      </c>
      <c r="J22" s="47"/>
      <c r="K22" s="43"/>
      <c r="L22" s="49" t="s">
        <v>21</v>
      </c>
      <c r="M22" s="50">
        <f>M21/E20</f>
        <v>2.857142857</v>
      </c>
      <c r="N22" s="43"/>
    </row>
    <row r="23">
      <c r="C23" s="7"/>
      <c r="E23" s="51"/>
      <c r="F23" s="52"/>
      <c r="I23" s="53"/>
      <c r="J23" s="52"/>
    </row>
    <row r="24">
      <c r="C24" s="7"/>
      <c r="E24" s="54">
        <f>I5*0.3</f>
        <v>3000000</v>
      </c>
      <c r="F24" s="51"/>
      <c r="I24" s="7" t="s">
        <v>22</v>
      </c>
      <c r="J24" s="51">
        <v>0.4</v>
      </c>
      <c r="Y24" s="55">
        <f>M60/M22-1</f>
        <v>-0.8243</v>
      </c>
    </row>
    <row r="25">
      <c r="C25" s="7"/>
      <c r="E25" s="54">
        <f>E24*0.15</f>
        <v>450000</v>
      </c>
      <c r="F25" s="51"/>
      <c r="H25" s="51"/>
      <c r="I25" s="7" t="s">
        <v>23</v>
      </c>
      <c r="J25" s="51">
        <v>0.8</v>
      </c>
    </row>
    <row r="26">
      <c r="C26" s="5"/>
      <c r="D26" s="5"/>
      <c r="E26" s="15"/>
      <c r="H26" s="5"/>
      <c r="I26" s="15"/>
    </row>
    <row r="33">
      <c r="L33" s="51"/>
    </row>
    <row r="39">
      <c r="D39" s="7" t="s">
        <v>24</v>
      </c>
      <c r="H39" s="56"/>
    </row>
    <row r="41">
      <c r="D41" s="57" t="s">
        <v>0</v>
      </c>
      <c r="H41" s="57" t="s">
        <v>1</v>
      </c>
      <c r="L41" s="57" t="s">
        <v>2</v>
      </c>
    </row>
    <row r="42">
      <c r="F42" s="58" t="s">
        <v>3</v>
      </c>
      <c r="J42" s="58" t="s">
        <v>3</v>
      </c>
      <c r="N42" s="58" t="s">
        <v>3</v>
      </c>
    </row>
    <row r="43">
      <c r="D43" s="7" t="s">
        <v>4</v>
      </c>
      <c r="E43" s="53">
        <v>1.0E8</v>
      </c>
      <c r="F43" s="52"/>
      <c r="H43" s="7" t="s">
        <v>4</v>
      </c>
      <c r="I43" s="53">
        <v>3.0E7</v>
      </c>
      <c r="J43" s="52"/>
      <c r="L43" s="7" t="s">
        <v>4</v>
      </c>
      <c r="M43" s="54">
        <f t="shared" ref="M43:M49" si="5">E43+I43</f>
        <v>130000000</v>
      </c>
    </row>
    <row r="44">
      <c r="D44" s="7" t="s">
        <v>6</v>
      </c>
      <c r="E44" s="54">
        <f>E43*F44</f>
        <v>35000000</v>
      </c>
      <c r="F44" s="56">
        <v>0.35</v>
      </c>
      <c r="H44" s="7" t="s">
        <v>6</v>
      </c>
      <c r="I44" s="54">
        <f>I43*J44</f>
        <v>10500000</v>
      </c>
      <c r="J44" s="56">
        <v>0.35</v>
      </c>
      <c r="L44" s="7" t="s">
        <v>6</v>
      </c>
      <c r="M44" s="54">
        <f t="shared" si="5"/>
        <v>45500000</v>
      </c>
      <c r="N44" s="52">
        <f t="shared" ref="N44:N50" si="6">M44/$M$5</f>
        <v>2.275</v>
      </c>
    </row>
    <row r="45">
      <c r="D45" s="7" t="s">
        <v>7</v>
      </c>
      <c r="E45" s="59">
        <v>0.0</v>
      </c>
      <c r="F45" s="56">
        <v>0.0</v>
      </c>
      <c r="H45" s="7" t="s">
        <v>7</v>
      </c>
      <c r="I45" s="54">
        <f>I43*J45</f>
        <v>1500000</v>
      </c>
      <c r="J45" s="56">
        <v>0.05</v>
      </c>
      <c r="L45" s="7" t="s">
        <v>7</v>
      </c>
      <c r="M45" s="54">
        <f t="shared" si="5"/>
        <v>1500000</v>
      </c>
      <c r="N45" s="52">
        <f t="shared" si="6"/>
        <v>0.075</v>
      </c>
    </row>
    <row r="46">
      <c r="D46" s="7" t="s">
        <v>9</v>
      </c>
      <c r="E46" s="59">
        <v>0.0</v>
      </c>
      <c r="F46" s="56">
        <v>0.0</v>
      </c>
      <c r="H46" s="7" t="s">
        <v>9</v>
      </c>
      <c r="I46" s="54">
        <f>I43*J46</f>
        <v>6900000</v>
      </c>
      <c r="J46" s="56">
        <v>0.23</v>
      </c>
      <c r="L46" s="7" t="s">
        <v>9</v>
      </c>
      <c r="M46" s="54">
        <f t="shared" si="5"/>
        <v>6900000</v>
      </c>
      <c r="N46" s="52">
        <f t="shared" si="6"/>
        <v>0.345</v>
      </c>
    </row>
    <row r="47">
      <c r="D47" s="7" t="s">
        <v>10</v>
      </c>
      <c r="E47" s="59">
        <v>0.0</v>
      </c>
      <c r="F47" s="56">
        <v>0.0</v>
      </c>
      <c r="H47" s="7" t="s">
        <v>10</v>
      </c>
      <c r="I47" s="54">
        <f>I46*19%</f>
        <v>1311000</v>
      </c>
      <c r="J47" s="56">
        <v>0.008</v>
      </c>
      <c r="L47" s="7" t="s">
        <v>10</v>
      </c>
      <c r="M47" s="54">
        <f t="shared" si="5"/>
        <v>1311000</v>
      </c>
      <c r="N47" s="52">
        <f t="shared" si="6"/>
        <v>0.06555</v>
      </c>
    </row>
    <row r="48">
      <c r="D48" s="7" t="s">
        <v>11</v>
      </c>
      <c r="E48" s="59">
        <v>0.0</v>
      </c>
      <c r="F48" s="56">
        <v>0.0</v>
      </c>
      <c r="H48" s="7" t="s">
        <v>11</v>
      </c>
      <c r="I48" s="54">
        <f>I43*J48</f>
        <v>0</v>
      </c>
      <c r="J48" s="56">
        <v>0.0</v>
      </c>
      <c r="L48" s="7" t="s">
        <v>11</v>
      </c>
      <c r="M48" s="54">
        <f t="shared" si="5"/>
        <v>0</v>
      </c>
      <c r="N48" s="52">
        <f t="shared" si="6"/>
        <v>0</v>
      </c>
    </row>
    <row r="49">
      <c r="D49" s="60" t="s">
        <v>12</v>
      </c>
      <c r="E49" s="61">
        <v>0.0</v>
      </c>
      <c r="F49" s="62">
        <v>0.0</v>
      </c>
      <c r="H49" s="60" t="s">
        <v>12</v>
      </c>
      <c r="I49" s="63">
        <f>J49*I43</f>
        <v>0</v>
      </c>
      <c r="J49" s="62">
        <v>0.0</v>
      </c>
      <c r="L49" s="60" t="s">
        <v>12</v>
      </c>
      <c r="M49" s="63">
        <f t="shared" si="5"/>
        <v>0</v>
      </c>
      <c r="N49" s="64">
        <f t="shared" si="6"/>
        <v>0</v>
      </c>
    </row>
    <row r="50">
      <c r="D50" s="5" t="s">
        <v>13</v>
      </c>
      <c r="E50" s="65">
        <f>E43-E44</f>
        <v>65000000</v>
      </c>
      <c r="F50" s="66">
        <f>E50/E43</f>
        <v>0.65</v>
      </c>
      <c r="H50" s="5" t="s">
        <v>13</v>
      </c>
      <c r="I50" s="65">
        <f>I43-I44-I45-I46-I47-I48-I49</f>
        <v>9789000</v>
      </c>
      <c r="J50" s="67">
        <f>I50/I43</f>
        <v>0.3263</v>
      </c>
      <c r="L50" s="5" t="s">
        <v>13</v>
      </c>
      <c r="M50" s="65">
        <f>M43-M44-M45-M46-M47-M48-M49</f>
        <v>74789000</v>
      </c>
      <c r="N50" s="66">
        <f t="shared" si="6"/>
        <v>3.73945</v>
      </c>
    </row>
    <row r="51">
      <c r="I51" s="54"/>
      <c r="J51" s="56"/>
      <c r="M51" s="54"/>
      <c r="N51" s="52"/>
    </row>
    <row r="52">
      <c r="D52" s="7" t="s">
        <v>14</v>
      </c>
      <c r="E52" s="54">
        <f>F52*E43</f>
        <v>10000000</v>
      </c>
      <c r="F52" s="56">
        <v>0.1</v>
      </c>
      <c r="H52" s="7" t="s">
        <v>14</v>
      </c>
      <c r="I52" s="53">
        <v>0.0</v>
      </c>
      <c r="J52" s="56">
        <f>I52/I43</f>
        <v>0</v>
      </c>
      <c r="L52" s="7" t="s">
        <v>14</v>
      </c>
      <c r="M52" s="54">
        <f t="shared" ref="M52:M55" si="7">E52+I52</f>
        <v>10000000</v>
      </c>
      <c r="N52" s="52">
        <f t="shared" ref="N52:N56" si="8">M52/$M$5</f>
        <v>0.5</v>
      </c>
    </row>
    <row r="53">
      <c r="D53" s="7" t="s">
        <v>15</v>
      </c>
      <c r="E53" s="54">
        <f>F53*E43</f>
        <v>20000000</v>
      </c>
      <c r="F53" s="56">
        <v>0.2</v>
      </c>
      <c r="H53" s="7" t="s">
        <v>15</v>
      </c>
      <c r="I53" s="53">
        <v>0.0</v>
      </c>
      <c r="J53" s="52">
        <f>I53/I43</f>
        <v>0</v>
      </c>
      <c r="L53" s="7" t="s">
        <v>15</v>
      </c>
      <c r="M53" s="54">
        <f t="shared" si="7"/>
        <v>20000000</v>
      </c>
      <c r="N53" s="52">
        <f t="shared" si="8"/>
        <v>1</v>
      </c>
    </row>
    <row r="54">
      <c r="D54" s="7" t="s">
        <v>16</v>
      </c>
      <c r="E54" s="54">
        <f>F54*E43</f>
        <v>8000000</v>
      </c>
      <c r="F54" s="56">
        <v>0.08</v>
      </c>
      <c r="H54" s="7" t="s">
        <v>16</v>
      </c>
      <c r="I54" s="53">
        <v>0.0</v>
      </c>
      <c r="J54" s="52">
        <f>I54/I43</f>
        <v>0</v>
      </c>
      <c r="L54" s="7" t="s">
        <v>16</v>
      </c>
      <c r="M54" s="54">
        <f t="shared" si="7"/>
        <v>8000000</v>
      </c>
      <c r="N54" s="52">
        <f t="shared" si="8"/>
        <v>0.4</v>
      </c>
    </row>
    <row r="55">
      <c r="D55" s="60" t="s">
        <v>17</v>
      </c>
      <c r="E55" s="63">
        <f>F55*E43</f>
        <v>7500000</v>
      </c>
      <c r="F55" s="62">
        <v>0.075</v>
      </c>
      <c r="H55" s="60" t="s">
        <v>17</v>
      </c>
      <c r="I55" s="68">
        <v>0.0</v>
      </c>
      <c r="J55" s="64">
        <f>I55/I43</f>
        <v>0</v>
      </c>
      <c r="L55" s="60" t="s">
        <v>17</v>
      </c>
      <c r="M55" s="63">
        <f t="shared" si="7"/>
        <v>7500000</v>
      </c>
      <c r="N55" s="64">
        <f t="shared" si="8"/>
        <v>0.375</v>
      </c>
    </row>
    <row r="56">
      <c r="D56" s="5" t="s">
        <v>18</v>
      </c>
      <c r="E56" s="65">
        <f>E52+E53+E54+E55</f>
        <v>45500000</v>
      </c>
      <c r="F56" s="66">
        <f>E56/E43</f>
        <v>0.455</v>
      </c>
      <c r="H56" s="5" t="s">
        <v>18</v>
      </c>
      <c r="I56" s="69">
        <f>I52+I53+I54+I55</f>
        <v>0</v>
      </c>
      <c r="J56" s="66">
        <f>I56/I43</f>
        <v>0</v>
      </c>
      <c r="L56" s="5" t="s">
        <v>18</v>
      </c>
      <c r="M56" s="65">
        <f>M52+M53+M54+M55</f>
        <v>45500000</v>
      </c>
      <c r="N56" s="66">
        <f t="shared" si="8"/>
        <v>2.275</v>
      </c>
    </row>
    <row r="57">
      <c r="D57" s="7"/>
      <c r="E57" s="54"/>
      <c r="F57" s="52"/>
      <c r="H57" s="7"/>
      <c r="I57" s="53"/>
      <c r="J57" s="52"/>
      <c r="L57" s="7"/>
    </row>
    <row r="58">
      <c r="D58" s="70" t="s">
        <v>19</v>
      </c>
      <c r="E58" s="71">
        <f>E50-E56</f>
        <v>19500000</v>
      </c>
      <c r="F58" s="72">
        <f>E58/E43</f>
        <v>0.195</v>
      </c>
      <c r="H58" s="70" t="s">
        <v>19</v>
      </c>
      <c r="I58" s="71">
        <f>I50-I56</f>
        <v>9789000</v>
      </c>
      <c r="J58" s="72">
        <f>I58/I43</f>
        <v>0.3263</v>
      </c>
      <c r="L58" s="70" t="s">
        <v>19</v>
      </c>
      <c r="M58" s="71">
        <f>M50-M56</f>
        <v>29289000</v>
      </c>
      <c r="N58" s="72">
        <f>M58/M43</f>
        <v>0.2253</v>
      </c>
    </row>
    <row r="59">
      <c r="E59" s="54"/>
      <c r="F59" s="52"/>
      <c r="M59" s="54">
        <f>M58-E58</f>
        <v>9789000</v>
      </c>
    </row>
    <row r="60">
      <c r="F60" s="58"/>
      <c r="J60" s="58"/>
      <c r="L60" s="73" t="s">
        <v>21</v>
      </c>
      <c r="M60" s="74">
        <f>M59/E58</f>
        <v>0.502</v>
      </c>
    </row>
    <row r="83">
      <c r="D83" s="57" t="s">
        <v>0</v>
      </c>
      <c r="H83" s="57" t="s">
        <v>1</v>
      </c>
      <c r="L83" s="57" t="s">
        <v>2</v>
      </c>
    </row>
    <row r="84">
      <c r="C84" s="7"/>
      <c r="F84" s="58" t="s">
        <v>3</v>
      </c>
      <c r="J84" s="7" t="s">
        <v>3</v>
      </c>
      <c r="N84" s="7" t="s">
        <v>3</v>
      </c>
    </row>
    <row r="85">
      <c r="C85" s="7"/>
      <c r="D85" s="7" t="s">
        <v>4</v>
      </c>
      <c r="E85" s="53">
        <v>1.0E8</v>
      </c>
      <c r="F85" s="52"/>
      <c r="H85" s="7" t="s">
        <v>4</v>
      </c>
      <c r="I85" s="53">
        <v>3.0E7</v>
      </c>
      <c r="J85" s="52"/>
      <c r="L85" s="7" t="s">
        <v>4</v>
      </c>
      <c r="M85" s="54">
        <f t="shared" ref="M85:M94" si="9">E85+I85</f>
        <v>130000000</v>
      </c>
    </row>
    <row r="86">
      <c r="C86" s="7"/>
      <c r="D86" s="7" t="s">
        <v>25</v>
      </c>
      <c r="E86" s="53">
        <f>E85*F86</f>
        <v>8000000</v>
      </c>
      <c r="F86" s="56">
        <v>0.08</v>
      </c>
      <c r="H86" s="7" t="s">
        <v>25</v>
      </c>
      <c r="I86" s="53">
        <f>I85*J86</f>
        <v>2400000</v>
      </c>
      <c r="J86" s="56">
        <v>0.08</v>
      </c>
      <c r="L86" s="7" t="s">
        <v>25</v>
      </c>
      <c r="M86" s="54">
        <f t="shared" si="9"/>
        <v>10400000</v>
      </c>
      <c r="N86" s="52">
        <f t="shared" ref="N86:N95" si="10">M86/$M$5</f>
        <v>0.52</v>
      </c>
    </row>
    <row r="87">
      <c r="C87" s="7"/>
      <c r="D87" s="7" t="s">
        <v>26</v>
      </c>
      <c r="E87" s="54">
        <f>E85*F87</f>
        <v>1000000</v>
      </c>
      <c r="F87" s="56">
        <v>0.01</v>
      </c>
      <c r="H87" s="7" t="s">
        <v>26</v>
      </c>
      <c r="I87" s="54">
        <f>I85*J87</f>
        <v>300000</v>
      </c>
      <c r="J87" s="56">
        <v>0.01</v>
      </c>
      <c r="L87" s="7" t="s">
        <v>26</v>
      </c>
      <c r="M87" s="54">
        <f t="shared" si="9"/>
        <v>1300000</v>
      </c>
      <c r="N87" s="52">
        <f t="shared" si="10"/>
        <v>0.065</v>
      </c>
    </row>
    <row r="88">
      <c r="C88" s="7"/>
      <c r="D88" s="7" t="s">
        <v>27</v>
      </c>
      <c r="E88" s="54">
        <f>E85-E86-E87</f>
        <v>91000000</v>
      </c>
      <c r="F88" s="56"/>
      <c r="H88" s="7" t="s">
        <v>27</v>
      </c>
      <c r="I88" s="54">
        <f>I85-I86-I87</f>
        <v>27300000</v>
      </c>
      <c r="J88" s="56">
        <f>I88/I85</f>
        <v>0.91</v>
      </c>
      <c r="L88" s="7" t="s">
        <v>27</v>
      </c>
      <c r="M88" s="54">
        <f t="shared" si="9"/>
        <v>118300000</v>
      </c>
      <c r="N88" s="52">
        <f t="shared" si="10"/>
        <v>5.915</v>
      </c>
    </row>
    <row r="89">
      <c r="C89" s="7"/>
      <c r="D89" s="7" t="s">
        <v>6</v>
      </c>
      <c r="E89" s="54">
        <f>E88*F89</f>
        <v>31850000</v>
      </c>
      <c r="F89" s="56">
        <v>0.35</v>
      </c>
      <c r="H89" s="7" t="s">
        <v>6</v>
      </c>
      <c r="I89" s="54">
        <f>I88*J89</f>
        <v>9555000</v>
      </c>
      <c r="J89" s="56">
        <v>0.35</v>
      </c>
      <c r="L89" s="7" t="s">
        <v>6</v>
      </c>
      <c r="M89" s="54">
        <f t="shared" si="9"/>
        <v>41405000</v>
      </c>
      <c r="N89" s="52">
        <f t="shared" si="10"/>
        <v>2.07025</v>
      </c>
    </row>
    <row r="90">
      <c r="C90" s="7"/>
      <c r="D90" s="7" t="s">
        <v>7</v>
      </c>
      <c r="E90" s="59">
        <v>0.0</v>
      </c>
      <c r="F90" s="56">
        <v>0.0</v>
      </c>
      <c r="H90" s="7" t="s">
        <v>7</v>
      </c>
      <c r="I90" s="54">
        <f>I88*J90</f>
        <v>1365000</v>
      </c>
      <c r="J90" s="56">
        <v>0.05</v>
      </c>
      <c r="L90" s="7" t="s">
        <v>7</v>
      </c>
      <c r="M90" s="54">
        <f t="shared" si="9"/>
        <v>1365000</v>
      </c>
      <c r="N90" s="52">
        <f t="shared" si="10"/>
        <v>0.06825</v>
      </c>
    </row>
    <row r="91">
      <c r="C91" s="7"/>
      <c r="D91" s="7" t="s">
        <v>9</v>
      </c>
      <c r="E91" s="59">
        <v>0.0</v>
      </c>
      <c r="F91" s="56">
        <v>0.0</v>
      </c>
      <c r="H91" s="7" t="s">
        <v>9</v>
      </c>
      <c r="I91" s="54">
        <f>I85*J91</f>
        <v>6000000</v>
      </c>
      <c r="J91" s="56">
        <f>18%+2%</f>
        <v>0.2</v>
      </c>
      <c r="L91" s="7" t="s">
        <v>9</v>
      </c>
      <c r="M91" s="54">
        <f t="shared" si="9"/>
        <v>6000000</v>
      </c>
      <c r="N91" s="52">
        <f t="shared" si="10"/>
        <v>0.3</v>
      </c>
    </row>
    <row r="92">
      <c r="C92" s="7"/>
      <c r="D92" s="7" t="s">
        <v>10</v>
      </c>
      <c r="E92" s="59">
        <v>0.0</v>
      </c>
      <c r="F92" s="56">
        <v>0.0</v>
      </c>
      <c r="H92" s="7" t="s">
        <v>10</v>
      </c>
      <c r="I92" s="54">
        <f>I91*B5</f>
        <v>0</v>
      </c>
      <c r="J92" s="52">
        <f>I92/I85</f>
        <v>0</v>
      </c>
      <c r="L92" s="7" t="s">
        <v>10</v>
      </c>
      <c r="M92" s="54">
        <f t="shared" si="9"/>
        <v>0</v>
      </c>
      <c r="N92" s="52">
        <f t="shared" si="10"/>
        <v>0</v>
      </c>
    </row>
    <row r="93">
      <c r="D93" s="7" t="s">
        <v>11</v>
      </c>
      <c r="E93" s="59">
        <v>0.0</v>
      </c>
      <c r="F93" s="56">
        <v>0.0</v>
      </c>
      <c r="H93" s="7" t="s">
        <v>11</v>
      </c>
      <c r="I93" s="54">
        <f>I85*J93</f>
        <v>2100000</v>
      </c>
      <c r="J93" s="56">
        <v>0.07</v>
      </c>
      <c r="L93" s="7" t="s">
        <v>11</v>
      </c>
      <c r="M93" s="54">
        <f t="shared" si="9"/>
        <v>2100000</v>
      </c>
      <c r="N93" s="52">
        <f t="shared" si="10"/>
        <v>0.105</v>
      </c>
    </row>
    <row r="94">
      <c r="D94" s="60" t="s">
        <v>12</v>
      </c>
      <c r="E94" s="61">
        <v>0.0</v>
      </c>
      <c r="F94" s="62">
        <v>0.0</v>
      </c>
      <c r="H94" s="60" t="s">
        <v>12</v>
      </c>
      <c r="I94" s="63">
        <f>J94*I85</f>
        <v>0</v>
      </c>
      <c r="J94" s="62">
        <v>0.0</v>
      </c>
      <c r="L94" s="60" t="s">
        <v>12</v>
      </c>
      <c r="M94" s="63">
        <f t="shared" si="9"/>
        <v>0</v>
      </c>
      <c r="N94" s="64">
        <f t="shared" si="10"/>
        <v>0</v>
      </c>
    </row>
    <row r="95">
      <c r="D95" s="5" t="s">
        <v>13</v>
      </c>
      <c r="E95" s="65">
        <f>E85-E89</f>
        <v>68150000</v>
      </c>
      <c r="F95" s="66">
        <f>E95/E85</f>
        <v>0.6815</v>
      </c>
      <c r="H95" s="5" t="s">
        <v>13</v>
      </c>
      <c r="I95" s="65">
        <f>I85-I89-I90-I91-I92-I93-I94</f>
        <v>10980000</v>
      </c>
      <c r="J95" s="67">
        <f>I95/I85</f>
        <v>0.366</v>
      </c>
      <c r="L95" s="5" t="s">
        <v>13</v>
      </c>
      <c r="M95" s="65">
        <f>M85-M89-M90-M91-M92-M93-M94</f>
        <v>79130000</v>
      </c>
      <c r="N95" s="66">
        <f t="shared" si="10"/>
        <v>3.9565</v>
      </c>
    </row>
    <row r="96">
      <c r="I96" s="54"/>
      <c r="J96" s="56"/>
      <c r="M96" s="54"/>
      <c r="N96" s="52"/>
    </row>
    <row r="97">
      <c r="D97" s="7" t="s">
        <v>14</v>
      </c>
      <c r="E97" s="54">
        <f>F97*E85</f>
        <v>10000000</v>
      </c>
      <c r="F97" s="56">
        <v>0.1</v>
      </c>
      <c r="H97" s="7" t="s">
        <v>14</v>
      </c>
      <c r="I97" s="53">
        <v>0.0</v>
      </c>
      <c r="J97" s="56">
        <f>I97/I85</f>
        <v>0</v>
      </c>
      <c r="L97" s="7" t="s">
        <v>14</v>
      </c>
      <c r="M97" s="54">
        <f t="shared" ref="M97:M100" si="11">E97+I97</f>
        <v>10000000</v>
      </c>
      <c r="N97" s="52">
        <f t="shared" ref="N97:N101" si="12">M97/$M$5</f>
        <v>0.5</v>
      </c>
    </row>
    <row r="98">
      <c r="D98" s="7" t="s">
        <v>15</v>
      </c>
      <c r="E98" s="54">
        <f>F98*E85</f>
        <v>20000000</v>
      </c>
      <c r="F98" s="56">
        <v>0.2</v>
      </c>
      <c r="H98" s="7" t="s">
        <v>15</v>
      </c>
      <c r="I98" s="53">
        <v>2000.0</v>
      </c>
      <c r="J98" s="52">
        <f>I98/I85</f>
        <v>0.00006666666667</v>
      </c>
      <c r="L98" s="7" t="s">
        <v>15</v>
      </c>
      <c r="M98" s="54">
        <f t="shared" si="11"/>
        <v>20002000</v>
      </c>
      <c r="N98" s="52">
        <f t="shared" si="12"/>
        <v>1.0001</v>
      </c>
    </row>
    <row r="99">
      <c r="D99" s="7" t="s">
        <v>16</v>
      </c>
      <c r="E99" s="54">
        <f>F99*E85</f>
        <v>8000000</v>
      </c>
      <c r="F99" s="56">
        <v>0.08</v>
      </c>
      <c r="H99" s="7" t="s">
        <v>16</v>
      </c>
      <c r="I99" s="53">
        <v>0.0</v>
      </c>
      <c r="J99" s="52">
        <f>I99/I85</f>
        <v>0</v>
      </c>
      <c r="L99" s="7" t="s">
        <v>16</v>
      </c>
      <c r="M99" s="54">
        <f t="shared" si="11"/>
        <v>8000000</v>
      </c>
      <c r="N99" s="52">
        <f t="shared" si="12"/>
        <v>0.4</v>
      </c>
    </row>
    <row r="100">
      <c r="D100" s="60" t="s">
        <v>17</v>
      </c>
      <c r="E100" s="63">
        <f>F100*E85</f>
        <v>7500000</v>
      </c>
      <c r="F100" s="62">
        <v>0.075</v>
      </c>
      <c r="H100" s="60" t="s">
        <v>17</v>
      </c>
      <c r="I100" s="68">
        <v>0.0</v>
      </c>
      <c r="J100" s="64">
        <f>I100/I85</f>
        <v>0</v>
      </c>
      <c r="L100" s="60" t="s">
        <v>17</v>
      </c>
      <c r="M100" s="63">
        <f t="shared" si="11"/>
        <v>7500000</v>
      </c>
      <c r="N100" s="64">
        <f t="shared" si="12"/>
        <v>0.375</v>
      </c>
    </row>
    <row r="101">
      <c r="D101" s="5" t="s">
        <v>18</v>
      </c>
      <c r="E101" s="65">
        <f>E97+E98+E99+E100</f>
        <v>45500000</v>
      </c>
      <c r="F101" s="66">
        <f>E101/E85</f>
        <v>0.455</v>
      </c>
      <c r="H101" s="5" t="s">
        <v>18</v>
      </c>
      <c r="I101" s="69">
        <f>I97+I98+I99+I100</f>
        <v>2000</v>
      </c>
      <c r="J101" s="66">
        <f>I101/I85</f>
        <v>0.00006666666667</v>
      </c>
      <c r="L101" s="5" t="s">
        <v>18</v>
      </c>
      <c r="M101" s="65">
        <f>M97+M98+M99+M100</f>
        <v>45502000</v>
      </c>
      <c r="N101" s="66">
        <f t="shared" si="12"/>
        <v>2.2751</v>
      </c>
    </row>
    <row r="102">
      <c r="D102" s="7"/>
      <c r="E102" s="54"/>
      <c r="F102" s="52"/>
      <c r="H102" s="7"/>
      <c r="I102" s="53"/>
      <c r="J102" s="52"/>
      <c r="L102" s="7"/>
    </row>
    <row r="103">
      <c r="D103" s="70" t="s">
        <v>19</v>
      </c>
      <c r="E103" s="71">
        <f>E95-E101</f>
        <v>22650000</v>
      </c>
      <c r="F103" s="72">
        <f>E103/E85</f>
        <v>0.2265</v>
      </c>
      <c r="H103" s="70" t="s">
        <v>19</v>
      </c>
      <c r="I103" s="71">
        <f>I95-I101</f>
        <v>10978000</v>
      </c>
      <c r="J103" s="72">
        <f>I103/I85</f>
        <v>0.3659333333</v>
      </c>
      <c r="L103" s="70" t="s">
        <v>19</v>
      </c>
      <c r="M103" s="71">
        <f>M95-M101</f>
        <v>33628000</v>
      </c>
      <c r="N103" s="72">
        <f>M103/M85</f>
        <v>0.2586769231</v>
      </c>
    </row>
    <row r="104">
      <c r="E104" s="54"/>
      <c r="F104" s="52"/>
      <c r="M104" s="54">
        <f>M103-E103</f>
        <v>10978000</v>
      </c>
    </row>
    <row r="105">
      <c r="F105" s="58"/>
      <c r="J105" s="58"/>
      <c r="L105" s="73" t="s">
        <v>21</v>
      </c>
      <c r="M105" s="74">
        <f>M104/E103</f>
        <v>0.4846799117</v>
      </c>
    </row>
  </sheetData>
  <mergeCells count="9">
    <mergeCell ref="H83:J83"/>
    <mergeCell ref="L83:N83"/>
    <mergeCell ref="D3:F3"/>
    <mergeCell ref="H3:J3"/>
    <mergeCell ref="L3:N3"/>
    <mergeCell ref="D41:F41"/>
    <mergeCell ref="H41:J41"/>
    <mergeCell ref="L41:N41"/>
    <mergeCell ref="D83:F83"/>
  </mergeCells>
  <drawing r:id="rId1"/>
</worksheet>
</file>