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E" sheetId="1" r:id="rId4"/>
    <sheet state="visible" name="RAPPI" sheetId="2" r:id="rId5"/>
    <sheet state="hidden" name="P&amp;L BK" sheetId="3" r:id="rId6"/>
    <sheet state="hidden" name="P&amp;L BD" sheetId="4" r:id="rId7"/>
    <sheet state="hidden" name="Sheet5" sheetId="5" r:id="rId8"/>
  </sheets>
  <definedNames/>
  <calcPr/>
  <extLst>
    <ext uri="GoogleSheetsCustomDataVersion2">
      <go:sheetsCustomData xmlns:go="http://customooxmlschemas.google.com/" r:id="rId9" roundtripDataChecksum="oPt6EOazYxU9emynogJDxJ6j1x+8nImEMbKHGSAS1jY="/>
    </ext>
  </extLst>
</workbook>
</file>

<file path=xl/sharedStrings.xml><?xml version="1.0" encoding="utf-8"?>
<sst xmlns="http://schemas.openxmlformats.org/spreadsheetml/2006/main" count="298" uniqueCount="177">
  <si>
    <t>P&amp;L Mensual</t>
  </si>
  <si>
    <t>Total</t>
  </si>
  <si>
    <t>USD</t>
  </si>
  <si>
    <t>Valor</t>
  </si>
  <si>
    <t>Commentario</t>
  </si>
  <si>
    <t>Orden Promedio</t>
  </si>
  <si>
    <t xml:space="preserve">Ticket Promedio </t>
  </si>
  <si>
    <t>Órdenes Totales</t>
  </si>
  <si>
    <t xml:space="preserve">Total ventas mes </t>
  </si>
  <si>
    <t>Ventas</t>
  </si>
  <si>
    <t>Total Ingresos</t>
  </si>
  <si>
    <t>Inversión Delivery  + Impuestos</t>
  </si>
  <si>
    <t xml:space="preserve">Comision de Rappi </t>
  </si>
  <si>
    <t>Food Cost</t>
  </si>
  <si>
    <t>Média Nacional con IPC</t>
  </si>
  <si>
    <t>Packaging</t>
  </si>
  <si>
    <t>Média industrial</t>
  </si>
  <si>
    <t>Total Costos Variables</t>
  </si>
  <si>
    <t xml:space="preserve">Alquiler </t>
  </si>
  <si>
    <t>Renta</t>
  </si>
  <si>
    <t xml:space="preserve">Personal Directo </t>
  </si>
  <si>
    <t xml:space="preserve">Personal en el establecimiento </t>
  </si>
  <si>
    <t xml:space="preserve">Personal Indirecto </t>
  </si>
  <si>
    <t>contadores, administracion, publicidad , etc</t>
  </si>
  <si>
    <t>Utilities</t>
  </si>
  <si>
    <t xml:space="preserve"> Servicios </t>
  </si>
  <si>
    <t>INC Ipoconsumo</t>
  </si>
  <si>
    <t xml:space="preserve">INC </t>
  </si>
  <si>
    <t>Costos Fijos</t>
  </si>
  <si>
    <t>Contribución Marginal Neta</t>
  </si>
  <si>
    <t>Margen Neto sobre Venta</t>
  </si>
  <si>
    <t>Al año</t>
  </si>
  <si>
    <t>En USD / año</t>
  </si>
  <si>
    <t xml:space="preserve">CAPACIDAD PRODUCTIVA </t>
  </si>
  <si>
    <t>Por orden</t>
  </si>
  <si>
    <t xml:space="preserve">Pedidos estimados en Rappi  que son el 15% con respecto al punto </t>
  </si>
  <si>
    <t>Inversión Delivery + Impuestos</t>
  </si>
  <si>
    <t xml:space="preserve">Comisión 21 + IVA(19%) + 2% )interbancario </t>
  </si>
  <si>
    <t>Arriendo</t>
  </si>
  <si>
    <t xml:space="preserve">No se aplica </t>
  </si>
  <si>
    <t>Personal directo</t>
  </si>
  <si>
    <t>Pessoal indireito</t>
  </si>
  <si>
    <t xml:space="preserve">Utilities </t>
  </si>
  <si>
    <t xml:space="preserve">Servicios </t>
  </si>
  <si>
    <t>INC</t>
  </si>
  <si>
    <t>Markup</t>
  </si>
  <si>
    <t>órdenes</t>
  </si>
  <si>
    <t>Comisiones Totales + Impuestos</t>
  </si>
  <si>
    <t>incluye IVA</t>
  </si>
  <si>
    <t>Net Online ADS</t>
  </si>
  <si>
    <t>Compensaciones</t>
  </si>
  <si>
    <t>CHEQUEAR</t>
  </si>
  <si>
    <t>&lt;&lt; tirarlo al 40%</t>
  </si>
  <si>
    <t>&lt;&lt; tirarlo al 2%</t>
  </si>
  <si>
    <t>Alquileres</t>
  </si>
  <si>
    <t>&lt;&lt; solo si están en shopping / demuestran que pagan alquiler con % de facturación, si no borrar</t>
  </si>
  <si>
    <t>Costos Fijos (atribuibles a Rappi)</t>
  </si>
  <si>
    <t>&lt;&lt; tirarlo al 0%</t>
  </si>
  <si>
    <t>Brand_ID</t>
  </si>
  <si>
    <t>BRAND_NAME</t>
  </si>
  <si>
    <t>Grupo</t>
  </si>
  <si>
    <t>FOOD_CATEGORY</t>
  </si>
  <si>
    <t>Rank</t>
  </si>
  <si>
    <t>STORE_COUNT</t>
  </si>
  <si>
    <t>CONTRACT_COUNT</t>
  </si>
  <si>
    <t>Bucket</t>
  </si>
  <si>
    <t>FIRST_CONTRACT_START_DATE</t>
  </si>
  <si>
    <t>LAST_CONTRACT_START_DATE</t>
  </si>
  <si>
    <t>FIRST_CONTRACT_END_DATE</t>
  </si>
  <si>
    <t>Q vto</t>
  </si>
  <si>
    <t>LAST_CONTRACT_END_DATE</t>
  </si>
  <si>
    <t>GMV_JUN</t>
  </si>
  <si>
    <t>COMM_SALES_JUN</t>
  </si>
  <si>
    <t>ORDERS_JUN</t>
  </si>
  <si>
    <t>AOV</t>
  </si>
  <si>
    <t>CM_WO_MKT TOTAL</t>
  </si>
  <si>
    <t>CM_WO_MKT</t>
  </si>
  <si>
    <t>CM_WO_ADS_PRIME TOTAL</t>
  </si>
  <si>
    <t>CM_WO_ADS_PRIME</t>
  </si>
  <si>
    <t>COMMISSIONS</t>
  </si>
  <si>
    <t>BANK_FEE</t>
  </si>
  <si>
    <t>CC_FEE</t>
  </si>
  <si>
    <t>TR_CALC</t>
  </si>
  <si>
    <t>TR_CALC_W_FEES</t>
  </si>
  <si>
    <t>EXCLUSIVE_SALES_PERC</t>
  </si>
  <si>
    <t>MARKETPLACE_SALES_PERC</t>
  </si>
  <si>
    <t>Fine Dinning</t>
  </si>
  <si>
    <t>TRS_PAGOS</t>
  </si>
  <si>
    <t>BEFORE_IMPOCONSUMO_SALES_PERC</t>
  </si>
  <si>
    <t>CC_FEES</t>
  </si>
  <si>
    <t>BANK_FEES</t>
  </si>
  <si>
    <t>PERC_CANCEL</t>
  </si>
  <si>
    <t>POOR_CONDITION</t>
  </si>
  <si>
    <t>DIFFERENCE</t>
  </si>
  <si>
    <t>MISSING</t>
  </si>
  <si>
    <t>NOT_DELIVERED</t>
  </si>
  <si>
    <t>FIRST_ORDER_DATE</t>
  </si>
  <si>
    <t>TYC</t>
  </si>
  <si>
    <t>SALES_NOT_PRIME</t>
  </si>
  <si>
    <t>SALES_PRIME</t>
  </si>
  <si>
    <t>ORDERS_NOT_PRIME_JUN</t>
  </si>
  <si>
    <t>ORDERS_PRIME_JUN</t>
  </si>
  <si>
    <t>SPEND_RAPPI</t>
  </si>
  <si>
    <t>BUSQUEDA_DIRECTA</t>
  </si>
  <si>
    <t>NAVEGACION_APP</t>
  </si>
  <si>
    <t>CONVERSION</t>
  </si>
  <si>
    <t>REPURCHASE_RATE</t>
  </si>
  <si>
    <t>DEFECT_RATE</t>
  </si>
  <si>
    <t>TOTAL_USERS</t>
  </si>
  <si>
    <t>NEW_USERS</t>
  </si>
  <si>
    <t>ORGANIC_NEW_USERS</t>
  </si>
  <si>
    <t>REACTIVATED_USERS</t>
  </si>
  <si>
    <t>ORGANIC_REACTIVATION</t>
  </si>
  <si>
    <t>MAIN_CITY</t>
  </si>
  <si>
    <t>Paquete actual</t>
  </si>
  <si>
    <t>EQS</t>
  </si>
  <si>
    <t>COMMISSIONS_WITH_FEES</t>
  </si>
  <si>
    <t>ADS</t>
  </si>
  <si>
    <t>User Fees</t>
  </si>
  <si>
    <t>Courier Cost</t>
  </si>
  <si>
    <t>Variable Costs</t>
  </si>
  <si>
    <t>Promotions &amp; Discounts</t>
  </si>
  <si>
    <t>Guarantee Discounts</t>
  </si>
  <si>
    <t>Guarantee Payments</t>
  </si>
  <si>
    <t>Compensations Proactive</t>
  </si>
  <si>
    <t>Recovery</t>
  </si>
  <si>
    <t>Cashless Cancellations</t>
  </si>
  <si>
    <t>Gross Contribution Margin</t>
  </si>
  <si>
    <t>Net Contribution Margin</t>
  </si>
  <si>
    <t>EBITDA</t>
  </si>
  <si>
    <t>Canc/Comm sales</t>
  </si>
  <si>
    <t>Desc MP</t>
  </si>
  <si>
    <t>Desc Exclusivo</t>
  </si>
  <si>
    <t>Desc FD</t>
  </si>
  <si>
    <t>Desc TR</t>
  </si>
  <si>
    <t>TR piso</t>
  </si>
  <si>
    <t>TR actual</t>
  </si>
  <si>
    <t>Distancia a piso</t>
  </si>
  <si>
    <t>RI ideal</t>
  </si>
  <si>
    <t>On Target?</t>
  </si>
  <si>
    <t>Asignacion</t>
  </si>
  <si>
    <t>Blacklist</t>
  </si>
  <si>
    <t>SFee</t>
  </si>
  <si>
    <t>Basico</t>
  </si>
  <si>
    <t>En funnel v2</t>
  </si>
  <si>
    <t>PE6514</t>
  </si>
  <si>
    <t>Pardos Chicken</t>
  </si>
  <si>
    <t/>
  </si>
  <si>
    <t>Pollería</t>
  </si>
  <si>
    <t>1 - TOP 25</t>
  </si>
  <si>
    <t>No</t>
  </si>
  <si>
    <t>0.0,-0.01</t>
  </si>
  <si>
    <t>-0.01,0.0</t>
  </si>
  <si>
    <t>0.5,0.35</t>
  </si>
  <si>
    <t>NO</t>
  </si>
  <si>
    <t>Lima</t>
  </si>
  <si>
    <t>basic</t>
  </si>
  <si>
    <t>#N/A</t>
  </si>
  <si>
    <t>#REF!</t>
  </si>
  <si>
    <t>SI</t>
  </si>
  <si>
    <t>PE6370</t>
  </si>
  <si>
    <t>Saki Poké &amp; Bowls</t>
  </si>
  <si>
    <t>Poke</t>
  </si>
  <si>
    <t>2 - TOP 50</t>
  </si>
  <si>
    <t>default</t>
  </si>
  <si>
    <t>PE5155</t>
  </si>
  <si>
    <t>Mr Shao</t>
  </si>
  <si>
    <t>Chifa</t>
  </si>
  <si>
    <t>3 - TOP 75</t>
  </si>
  <si>
    <t>HYBRID</t>
  </si>
  <si>
    <t>PE6938</t>
  </si>
  <si>
    <t>Pasquale</t>
  </si>
  <si>
    <t>Criolla</t>
  </si>
  <si>
    <t>7 - &gt;5k</t>
  </si>
  <si>
    <t>PE7134</t>
  </si>
  <si>
    <t>Planet Chicken</t>
  </si>
  <si>
    <t>8 - 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</si>
</sst>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%"/>
    <numFmt numFmtId="165" formatCode="#,##0;\(#,##0\);&quot;-&quot;"/>
    <numFmt numFmtId="166" formatCode="\$#,##0_);[Red]\$#,##0"/>
    <numFmt numFmtId="167" formatCode="\$#,##0.00_);[Red]\$#,##0.00"/>
    <numFmt numFmtId="168" formatCode="&quot;$&quot;#,##0"/>
    <numFmt numFmtId="169" formatCode="&quot;$&quot;#,##0.00"/>
    <numFmt numFmtId="170" formatCode="[$USD ]#,##0"/>
    <numFmt numFmtId="171" formatCode="\$#,##0.0_);[Red]\$#,##0.0"/>
    <numFmt numFmtId="172" formatCode="D/M/YYYY"/>
    <numFmt numFmtId="173" formatCode="&quot;$&quot;#,##0.0"/>
    <numFmt numFmtId="174" formatCode="[$$]#,##0"/>
    <numFmt numFmtId="175" formatCode="d/m/yyyy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b/>
      <color rgb="FF0000FF"/>
      <name val="Arial"/>
    </font>
    <font>
      <i/>
      <sz val="10.0"/>
      <color theme="1"/>
      <name val="Arial"/>
    </font>
    <font>
      <sz val="10.0"/>
      <color rgb="FFFF0000"/>
      <name val="Arial"/>
    </font>
    <font>
      <b/>
      <sz val="10.0"/>
      <color rgb="FFFF0000"/>
      <name val="Arial"/>
    </font>
    <font>
      <sz val="10.0"/>
      <color theme="0"/>
      <name val="Arial"/>
    </font>
    <font>
      <b/>
      <sz val="10.0"/>
      <color rgb="FF38761D"/>
      <name val="Arial"/>
    </font>
    <font>
      <b/>
      <sz val="10.0"/>
      <color rgb="FF007635"/>
      <name val="Arial"/>
    </font>
    <font>
      <b/>
      <color rgb="FF007635"/>
      <name val="Arial"/>
    </font>
    <font>
      <b/>
      <sz val="11.0"/>
      <color theme="1"/>
      <name val="Calibri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EA4335"/>
        <bgColor rgb="FFEA4335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FFFFFF"/>
      </left>
      <right style="dotted">
        <color rgb="FFFFFFFF"/>
      </right>
      <top/>
      <bottom style="dotted">
        <color rgb="FFFFFFFF"/>
      </bottom>
    </border>
    <border>
      <left/>
      <right/>
      <top/>
      <bottom/>
    </border>
    <border>
      <left style="dotted">
        <color rgb="FFFFFFFF"/>
      </left>
      <right style="dotted">
        <color rgb="FFFFFFFF"/>
      </right>
      <top/>
      <bottom/>
    </border>
    <border>
      <top style="thin">
        <color rgb="FF000000"/>
      </top>
      <bottom style="thin">
        <color rgb="FF000000"/>
      </bottom>
    </border>
    <border>
      <left style="dotted">
        <color rgb="FFFFFFFF"/>
      </left>
      <right style="dotted">
        <color rgb="FFFFFFFF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dotted">
        <color rgb="FFFFFFFF"/>
      </left>
      <right style="dotted">
        <color rgb="FFFFFFFF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2" numFmtId="165" xfId="0" applyAlignment="1" applyBorder="1" applyFill="1" applyFont="1" applyNumberFormat="1">
      <alignment horizontal="left" shrinkToFit="0" vertical="center" wrapText="1"/>
    </xf>
    <xf borderId="1" fillId="3" fontId="2" numFmtId="165" xfId="0" applyAlignment="1" applyBorder="1" applyFill="1" applyFont="1" applyNumberFormat="1">
      <alignment horizontal="center" shrinkToFit="0" vertical="center" wrapText="1"/>
    </xf>
    <xf borderId="0" fillId="0" fontId="3" numFmtId="0" xfId="0" applyFont="1"/>
    <xf borderId="2" fillId="4" fontId="1" numFmtId="166" xfId="0" applyAlignment="1" applyBorder="1" applyFill="1" applyFont="1" applyNumberFormat="1">
      <alignment horizontal="center" shrinkToFit="0" wrapText="1"/>
    </xf>
    <xf borderId="2" fillId="5" fontId="1" numFmtId="167" xfId="0" applyAlignment="1" applyBorder="1" applyFill="1" applyFont="1" applyNumberFormat="1">
      <alignment horizontal="center" shrinkToFit="0" wrapText="1"/>
    </xf>
    <xf borderId="3" fillId="6" fontId="4" numFmtId="9" xfId="0" applyBorder="1" applyFill="1" applyFont="1" applyNumberFormat="1"/>
    <xf borderId="0" fillId="0" fontId="1" numFmtId="0" xfId="0" applyFont="1"/>
    <xf borderId="4" fillId="4" fontId="1" numFmtId="3" xfId="0" applyAlignment="1" applyBorder="1" applyFont="1" applyNumberFormat="1">
      <alignment horizontal="center" shrinkToFit="0" wrapText="1"/>
    </xf>
    <xf borderId="2" fillId="5" fontId="1" numFmtId="3" xfId="0" applyAlignment="1" applyBorder="1" applyFont="1" applyNumberFormat="1">
      <alignment horizontal="center" shrinkToFit="0" wrapText="1"/>
    </xf>
    <xf borderId="4" fillId="4" fontId="1" numFmtId="168" xfId="0" applyAlignment="1" applyBorder="1" applyFont="1" applyNumberFormat="1">
      <alignment horizontal="center" shrinkToFit="0" wrapText="1"/>
    </xf>
    <xf borderId="5" fillId="0" fontId="5" numFmtId="0" xfId="0" applyBorder="1" applyFont="1"/>
    <xf borderId="6" fillId="4" fontId="5" numFmtId="168" xfId="0" applyAlignment="1" applyBorder="1" applyFont="1" applyNumberFormat="1">
      <alignment horizontal="center" shrinkToFit="0" wrapText="1"/>
    </xf>
    <xf borderId="6" fillId="5" fontId="5" numFmtId="169" xfId="0" applyAlignment="1" applyBorder="1" applyFont="1" applyNumberFormat="1">
      <alignment horizontal="center" shrinkToFit="0" wrapText="1"/>
    </xf>
    <xf borderId="0" fillId="0" fontId="6" numFmtId="9" xfId="0" applyFont="1" applyNumberFormat="1"/>
    <xf borderId="7" fillId="0" fontId="7" numFmtId="0" xfId="0" applyBorder="1" applyFont="1"/>
    <xf borderId="8" fillId="4" fontId="1" numFmtId="10" xfId="0" applyAlignment="1" applyBorder="1" applyFont="1" applyNumberFormat="1">
      <alignment horizontal="center" shrinkToFit="0" wrapText="1"/>
    </xf>
    <xf borderId="8" fillId="5" fontId="1" numFmtId="10" xfId="0" applyAlignment="1" applyBorder="1" applyFont="1" applyNumberFormat="1">
      <alignment horizontal="center" shrinkToFit="0" wrapText="1"/>
    </xf>
    <xf borderId="2" fillId="4" fontId="8" numFmtId="168" xfId="0" applyAlignment="1" applyBorder="1" applyFont="1" applyNumberFormat="1">
      <alignment horizontal="center" shrinkToFit="0" wrapText="1"/>
    </xf>
    <xf borderId="2" fillId="5" fontId="1" numFmtId="168" xfId="0" applyAlignment="1" applyBorder="1" applyFont="1" applyNumberFormat="1">
      <alignment horizontal="center" shrinkToFit="0" wrapText="1"/>
    </xf>
    <xf borderId="6" fillId="4" fontId="9" numFmtId="168" xfId="0" applyAlignment="1" applyBorder="1" applyFont="1" applyNumberFormat="1">
      <alignment horizontal="center" shrinkToFit="0" wrapText="1"/>
    </xf>
    <xf borderId="6" fillId="5" fontId="5" numFmtId="168" xfId="0" applyAlignment="1" applyBorder="1" applyFont="1" applyNumberFormat="1">
      <alignment horizontal="center" shrinkToFit="0" wrapText="1"/>
    </xf>
    <xf borderId="0" fillId="0" fontId="4" numFmtId="9" xfId="0" applyFont="1" applyNumberFormat="1"/>
    <xf borderId="0" fillId="0" fontId="10" numFmtId="0" xfId="0" applyFont="1"/>
    <xf borderId="4" fillId="4" fontId="8" numFmtId="168" xfId="0" applyAlignment="1" applyBorder="1" applyFont="1" applyNumberFormat="1">
      <alignment horizontal="center" shrinkToFit="0" wrapText="1"/>
    </xf>
    <xf borderId="4" fillId="5" fontId="1" numFmtId="169" xfId="0" applyAlignment="1" applyBorder="1" applyFont="1" applyNumberFormat="1">
      <alignment horizontal="center" shrinkToFit="0" wrapText="1"/>
    </xf>
    <xf borderId="4" fillId="4" fontId="5" numFmtId="168" xfId="0" applyAlignment="1" applyBorder="1" applyFont="1" applyNumberFormat="1">
      <alignment horizontal="center" shrinkToFit="0" wrapText="1"/>
    </xf>
    <xf borderId="4" fillId="5" fontId="5" numFmtId="168" xfId="0" applyAlignment="1" applyBorder="1" applyFont="1" applyNumberFormat="1">
      <alignment horizontal="center" shrinkToFit="0" wrapText="1"/>
    </xf>
    <xf borderId="0" fillId="0" fontId="9" numFmtId="9" xfId="0" applyFont="1" applyNumberFormat="1"/>
    <xf borderId="0" fillId="0" fontId="5" numFmtId="0" xfId="0" applyFont="1"/>
    <xf borderId="6" fillId="4" fontId="11" numFmtId="168" xfId="0" applyAlignment="1" applyBorder="1" applyFont="1" applyNumberFormat="1">
      <alignment horizontal="center" shrinkToFit="0" wrapText="1"/>
    </xf>
    <xf borderId="6" fillId="5" fontId="12" numFmtId="168" xfId="0" applyAlignment="1" applyBorder="1" applyFont="1" applyNumberFormat="1">
      <alignment horizontal="center" shrinkToFit="0" wrapText="1"/>
    </xf>
    <xf borderId="0" fillId="0" fontId="13" numFmtId="9" xfId="0" applyFont="1" applyNumberFormat="1"/>
    <xf borderId="9" fillId="7" fontId="5" numFmtId="0" xfId="0" applyBorder="1" applyFill="1" applyFont="1"/>
    <xf borderId="6" fillId="4" fontId="11" numFmtId="10" xfId="0" applyAlignment="1" applyBorder="1" applyFont="1" applyNumberFormat="1">
      <alignment horizontal="center" shrinkToFit="0" wrapText="1"/>
    </xf>
    <xf borderId="0" fillId="0" fontId="1" numFmtId="169" xfId="0" applyFont="1" applyNumberFormat="1"/>
    <xf borderId="0" fillId="0" fontId="1" numFmtId="168" xfId="0" applyFont="1" applyNumberFormat="1"/>
    <xf borderId="6" fillId="4" fontId="11" numFmtId="170" xfId="0" applyAlignment="1" applyBorder="1" applyFont="1" applyNumberFormat="1">
      <alignment horizontal="center" shrinkToFit="0" wrapText="1"/>
    </xf>
    <xf borderId="3" fillId="7" fontId="5" numFmtId="0" xfId="0" applyBorder="1" applyFont="1"/>
    <xf borderId="6" fillId="0" fontId="12" numFmtId="168" xfId="0" applyAlignment="1" applyBorder="1" applyFont="1" applyNumberFormat="1">
      <alignment horizontal="center" shrinkToFit="0" wrapText="1"/>
    </xf>
    <xf borderId="0" fillId="8" fontId="13" numFmtId="9" xfId="0" applyFill="1" applyFont="1" applyNumberFormat="1"/>
    <xf borderId="2" fillId="4" fontId="1" numFmtId="171" xfId="0" applyAlignment="1" applyBorder="1" applyFont="1" applyNumberFormat="1">
      <alignment horizontal="center" shrinkToFit="0" wrapText="1"/>
    </xf>
    <xf borderId="2" fillId="5" fontId="1" numFmtId="169" xfId="0" applyAlignment="1" applyBorder="1" applyFont="1" applyNumberFormat="1">
      <alignment horizontal="center" shrinkToFit="0" wrapText="1"/>
    </xf>
    <xf borderId="3" fillId="9" fontId="14" numFmtId="0" xfId="0" applyBorder="1" applyFill="1" applyFont="1"/>
    <xf borderId="3" fillId="9" fontId="14" numFmtId="172" xfId="0" applyBorder="1" applyFont="1" applyNumberFormat="1"/>
    <xf borderId="3" fillId="9" fontId="14" numFmtId="168" xfId="0" applyBorder="1" applyFont="1" applyNumberFormat="1"/>
    <xf borderId="3" fillId="9" fontId="14" numFmtId="169" xfId="0" applyBorder="1" applyFont="1" applyNumberFormat="1"/>
    <xf borderId="3" fillId="10" fontId="14" numFmtId="168" xfId="0" applyBorder="1" applyFill="1" applyFont="1" applyNumberFormat="1"/>
    <xf borderId="3" fillId="10" fontId="14" numFmtId="169" xfId="0" applyBorder="1" applyFont="1" applyNumberFormat="1"/>
    <xf borderId="3" fillId="9" fontId="14" numFmtId="10" xfId="0" applyBorder="1" applyFont="1" applyNumberFormat="1"/>
    <xf borderId="3" fillId="9" fontId="14" numFmtId="164" xfId="0" applyBorder="1" applyFont="1" applyNumberFormat="1"/>
    <xf borderId="3" fillId="9" fontId="14" numFmtId="9" xfId="0" applyBorder="1" applyFont="1" applyNumberFormat="1"/>
    <xf borderId="3" fillId="9" fontId="14" numFmtId="173" xfId="0" applyBorder="1" applyFont="1" applyNumberFormat="1"/>
    <xf borderId="3" fillId="11" fontId="14" numFmtId="174" xfId="0" applyBorder="1" applyFill="1" applyFont="1" applyNumberFormat="1"/>
    <xf borderId="3" fillId="12" fontId="14" numFmtId="10" xfId="0" applyBorder="1" applyFill="1" applyFont="1" applyNumberFormat="1"/>
    <xf borderId="3" fillId="13" fontId="14" numFmtId="0" xfId="0" applyBorder="1" applyFill="1" applyFont="1"/>
    <xf borderId="3" fillId="13" fontId="14" numFmtId="164" xfId="0" applyBorder="1" applyFont="1" applyNumberFormat="1"/>
    <xf borderId="3" fillId="14" fontId="14" numFmtId="0" xfId="0" applyBorder="1" applyFill="1" applyFont="1"/>
    <xf borderId="0" fillId="0" fontId="15" numFmtId="0" xfId="0" applyAlignment="1" applyFont="1">
      <alignment horizontal="right"/>
    </xf>
    <xf borderId="0" fillId="0" fontId="15" numFmtId="0" xfId="0" applyFont="1"/>
    <xf borderId="0" fillId="0" fontId="15" numFmtId="172" xfId="0" applyAlignment="1" applyFont="1" applyNumberFormat="1">
      <alignment horizontal="right"/>
    </xf>
    <xf borderId="0" fillId="0" fontId="15" numFmtId="168" xfId="0" applyAlignment="1" applyFont="1" applyNumberFormat="1">
      <alignment horizontal="right"/>
    </xf>
    <xf borderId="0" fillId="0" fontId="15" numFmtId="169" xfId="0" applyAlignment="1" applyFont="1" applyNumberFormat="1">
      <alignment horizontal="right"/>
    </xf>
    <xf borderId="0" fillId="0" fontId="15" numFmtId="10" xfId="0" applyAlignment="1" applyFont="1" applyNumberFormat="1">
      <alignment horizontal="right"/>
    </xf>
    <xf borderId="0" fillId="0" fontId="15" numFmtId="164" xfId="0" applyAlignment="1" applyFont="1" applyNumberFormat="1">
      <alignment horizontal="right"/>
    </xf>
    <xf borderId="0" fillId="0" fontId="15" numFmtId="175" xfId="0" applyAlignment="1" applyFont="1" applyNumberFormat="1">
      <alignment horizontal="right"/>
    </xf>
    <xf borderId="0" fillId="0" fontId="15" numFmtId="173" xfId="0" applyAlignment="1" applyFont="1" applyNumberFormat="1">
      <alignment horizontal="right"/>
    </xf>
    <xf borderId="0" fillId="0" fontId="15" numFmtId="9" xfId="0" applyFont="1" applyNumberFormat="1"/>
    <xf borderId="0" fillId="0" fontId="15" numFmtId="4" xfId="0" applyAlignment="1" applyFont="1" applyNumberFormat="1">
      <alignment horizontal="right"/>
    </xf>
    <xf borderId="0" fillId="0" fontId="15" numFmtId="174" xfId="0" applyAlignment="1" applyFont="1" applyNumberFormat="1">
      <alignment horizontal="right"/>
    </xf>
    <xf borderId="0" fillId="0" fontId="15" numFmtId="9" xfId="0" applyAlignment="1" applyFont="1" applyNumberFormat="1">
      <alignment horizontal="right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9.38"/>
    <col customWidth="1" min="3" max="3" width="18.0"/>
    <col customWidth="1" min="4" max="4" width="18.38"/>
    <col customWidth="1" min="6" max="6" width="33.0"/>
  </cols>
  <sheetData>
    <row r="1" ht="15.75" customHeight="1">
      <c r="A1" s="1"/>
    </row>
    <row r="2" ht="15.75" customHeight="1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</row>
    <row r="3" ht="15.75" customHeight="1">
      <c r="B3" s="4" t="s">
        <v>5</v>
      </c>
      <c r="C3" s="5">
        <v>23000.0</v>
      </c>
      <c r="D3" s="6">
        <f>C3/4000</f>
        <v>5.75</v>
      </c>
      <c r="E3" s="7">
        <v>0.0</v>
      </c>
      <c r="F3" s="8" t="s">
        <v>6</v>
      </c>
    </row>
    <row r="4" ht="15.75" customHeight="1">
      <c r="B4" s="4" t="s">
        <v>7</v>
      </c>
      <c r="C4" s="9">
        <v>3478.0</v>
      </c>
      <c r="D4" s="10"/>
      <c r="E4" s="7">
        <v>1.0</v>
      </c>
      <c r="F4" s="8" t="s">
        <v>8</v>
      </c>
    </row>
    <row r="5" ht="15.75" customHeight="1">
      <c r="B5" s="8" t="s">
        <v>9</v>
      </c>
      <c r="C5" s="11">
        <f>C3*C4</f>
        <v>79994000</v>
      </c>
      <c r="D5" s="10"/>
    </row>
    <row r="6" ht="15.75" customHeight="1">
      <c r="B6" s="12" t="s">
        <v>10</v>
      </c>
      <c r="C6" s="13">
        <f>C5</f>
        <v>79994000</v>
      </c>
      <c r="D6" s="14">
        <f>C6/C$4</f>
        <v>23000</v>
      </c>
      <c r="E6" s="15">
        <v>1.0</v>
      </c>
      <c r="H6" s="8"/>
    </row>
    <row r="7" ht="15.75" customHeight="1">
      <c r="B7" s="16"/>
      <c r="C7" s="17"/>
      <c r="D7" s="18"/>
    </row>
    <row r="8" ht="15.75" customHeight="1">
      <c r="B8" s="8" t="s">
        <v>11</v>
      </c>
      <c r="C8" s="19">
        <f>C6*E8</f>
        <v>0</v>
      </c>
      <c r="D8" s="20">
        <f t="shared" ref="D8:D11" si="1">C8/C$4</f>
        <v>0</v>
      </c>
      <c r="E8" s="7">
        <v>0.0</v>
      </c>
      <c r="F8" s="8" t="s">
        <v>12</v>
      </c>
    </row>
    <row r="9" ht="15.75" customHeight="1">
      <c r="B9" s="8" t="s">
        <v>13</v>
      </c>
      <c r="C9" s="19">
        <f>C6*E9</f>
        <v>27997900</v>
      </c>
      <c r="D9" s="20">
        <f t="shared" si="1"/>
        <v>8050</v>
      </c>
      <c r="E9" s="7">
        <v>0.35</v>
      </c>
      <c r="F9" s="8" t="s">
        <v>14</v>
      </c>
    </row>
    <row r="10" ht="15.75" customHeight="1">
      <c r="B10" s="8" t="s">
        <v>15</v>
      </c>
      <c r="C10" s="19">
        <f>-C$6*E10</f>
        <v>0</v>
      </c>
      <c r="D10" s="20">
        <f t="shared" si="1"/>
        <v>0</v>
      </c>
      <c r="E10" s="7">
        <v>0.0</v>
      </c>
      <c r="F10" s="8" t="s">
        <v>16</v>
      </c>
    </row>
    <row r="11" ht="15.75" customHeight="1">
      <c r="B11" s="12" t="s">
        <v>17</v>
      </c>
      <c r="C11" s="21">
        <f>SUM(C8:C10)</f>
        <v>27997900</v>
      </c>
      <c r="D11" s="22">
        <f t="shared" si="1"/>
        <v>8050</v>
      </c>
      <c r="E11" s="23">
        <f>SUM(E8:E10)</f>
        <v>0.35</v>
      </c>
      <c r="R11" s="24">
        <v>802.0</v>
      </c>
    </row>
    <row r="12" ht="15.75" customHeight="1">
      <c r="C12" s="25"/>
      <c r="D12" s="26"/>
      <c r="R12" s="24">
        <v>753.0</v>
      </c>
    </row>
    <row r="13" ht="15.75" customHeight="1">
      <c r="B13" s="8" t="s">
        <v>18</v>
      </c>
      <c r="C13" s="27">
        <f>C6*(-E13)</f>
        <v>-15198860</v>
      </c>
      <c r="D13" s="28">
        <f t="shared" ref="D13:D17" si="2">C13/$C$4</f>
        <v>-4370</v>
      </c>
      <c r="E13" s="7">
        <v>0.19</v>
      </c>
      <c r="F13" s="8" t="s">
        <v>19</v>
      </c>
      <c r="R13" s="24"/>
    </row>
    <row r="14" ht="15.75" customHeight="1">
      <c r="B14" s="8" t="s">
        <v>20</v>
      </c>
      <c r="C14" s="27">
        <f t="shared" ref="C14:C17" si="3">-E14*C$5</f>
        <v>-7999400</v>
      </c>
      <c r="D14" s="28">
        <f t="shared" si="2"/>
        <v>-2300</v>
      </c>
      <c r="E14" s="7">
        <v>0.1</v>
      </c>
      <c r="F14" s="8" t="s">
        <v>21</v>
      </c>
      <c r="R14" s="24"/>
    </row>
    <row r="15" ht="15.75" customHeight="1">
      <c r="B15" s="8" t="s">
        <v>22</v>
      </c>
      <c r="C15" s="27">
        <f t="shared" si="3"/>
        <v>-2399820</v>
      </c>
      <c r="D15" s="28">
        <f t="shared" si="2"/>
        <v>-690</v>
      </c>
      <c r="E15" s="7">
        <v>0.03</v>
      </c>
      <c r="F15" s="8" t="s">
        <v>23</v>
      </c>
      <c r="R15" s="24"/>
    </row>
    <row r="16" ht="15.75" customHeight="1">
      <c r="B16" s="8" t="s">
        <v>24</v>
      </c>
      <c r="C16" s="27">
        <f t="shared" si="3"/>
        <v>-3999700</v>
      </c>
      <c r="D16" s="28">
        <f t="shared" si="2"/>
        <v>-1150</v>
      </c>
      <c r="E16" s="7">
        <v>0.05</v>
      </c>
      <c r="F16" s="8" t="s">
        <v>25</v>
      </c>
      <c r="R16" s="24"/>
    </row>
    <row r="17" ht="15.75" customHeight="1">
      <c r="B17" s="8" t="s">
        <v>26</v>
      </c>
      <c r="C17" s="27">
        <f t="shared" si="3"/>
        <v>-6399520</v>
      </c>
      <c r="D17" s="28">
        <f t="shared" si="2"/>
        <v>-1840</v>
      </c>
      <c r="E17" s="7">
        <v>0.08</v>
      </c>
      <c r="F17" s="8" t="s">
        <v>27</v>
      </c>
      <c r="R17" s="24"/>
    </row>
    <row r="18" ht="15.75" customHeight="1">
      <c r="B18" s="12" t="s">
        <v>28</v>
      </c>
      <c r="C18" s="13">
        <f>SUM(C13:C17)</f>
        <v>-35997300</v>
      </c>
      <c r="D18" s="22">
        <f>SUM(D13:D16)</f>
        <v>-8510</v>
      </c>
      <c r="E18" s="29">
        <f>E13+E14+E15+E16+E17</f>
        <v>0.45</v>
      </c>
      <c r="F18" s="8"/>
      <c r="R18" s="24"/>
    </row>
    <row r="19" ht="15.75" customHeight="1">
      <c r="B19" s="30"/>
      <c r="C19" s="27"/>
      <c r="D19" s="28"/>
      <c r="R19" s="24"/>
    </row>
    <row r="20" ht="15.75" customHeight="1">
      <c r="B20" s="12" t="s">
        <v>29</v>
      </c>
      <c r="C20" s="31">
        <f>C6-C11-(-C18)</f>
        <v>15998800</v>
      </c>
      <c r="D20" s="32">
        <f>C20/C$4</f>
        <v>4600</v>
      </c>
      <c r="E20" s="33">
        <f>E6-E11-E18</f>
        <v>0.2</v>
      </c>
      <c r="R20" s="24">
        <v>126.0</v>
      </c>
    </row>
    <row r="21" ht="15.75" customHeight="1">
      <c r="R21" s="24">
        <v>71.0</v>
      </c>
    </row>
    <row r="22" ht="15.75" customHeight="1">
      <c r="B22" s="34" t="s">
        <v>30</v>
      </c>
      <c r="C22" s="35">
        <f>C20/C6</f>
        <v>0.2</v>
      </c>
      <c r="F22" s="36"/>
    </row>
    <row r="23" ht="15.75" customHeight="1"/>
    <row r="24" ht="15.75" customHeight="1">
      <c r="B24" s="34" t="s">
        <v>31</v>
      </c>
      <c r="C24" s="31">
        <f>C20*12</f>
        <v>191985600</v>
      </c>
      <c r="F24" s="37"/>
    </row>
    <row r="25" ht="15.75" customHeight="1">
      <c r="B25" s="34" t="s">
        <v>32</v>
      </c>
      <c r="C25" s="38">
        <f>C24*0.19</f>
        <v>36477264</v>
      </c>
    </row>
    <row r="26" ht="15.75" customHeight="1"/>
    <row r="27" ht="15.75" customHeight="1">
      <c r="B27" s="39" t="s">
        <v>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1 B13:B20 B22:C22 B24:C25 B27 C2:D20 E2:F2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9.38"/>
    <col customWidth="1" min="3" max="3" width="21.25"/>
    <col customWidth="1" min="4" max="4" width="19.63"/>
    <col customWidth="1" min="6" max="6" width="15.38"/>
  </cols>
  <sheetData>
    <row r="1" ht="15.75" customHeight="1">
      <c r="A1" s="1"/>
    </row>
    <row r="2" ht="15.75" customHeight="1">
      <c r="B2" s="2" t="s">
        <v>0</v>
      </c>
      <c r="C2" s="3" t="s">
        <v>1</v>
      </c>
      <c r="D2" s="3" t="s">
        <v>34</v>
      </c>
      <c r="E2" s="3" t="s">
        <v>3</v>
      </c>
      <c r="F2" s="3" t="s">
        <v>4</v>
      </c>
    </row>
    <row r="3" ht="15.75" customHeight="1">
      <c r="B3" s="4" t="s">
        <v>5</v>
      </c>
      <c r="C3" s="5">
        <v>23000.0</v>
      </c>
      <c r="D3" s="6">
        <f>C3/4000</f>
        <v>5.75</v>
      </c>
      <c r="E3" s="7">
        <v>0.15</v>
      </c>
      <c r="F3" s="8" t="s">
        <v>6</v>
      </c>
    </row>
    <row r="4" ht="15.75" customHeight="1">
      <c r="B4" s="4" t="s">
        <v>7</v>
      </c>
      <c r="C4" s="9">
        <v>521.0</v>
      </c>
      <c r="D4" s="10"/>
      <c r="E4" s="7">
        <v>1.0</v>
      </c>
      <c r="F4" s="8" t="s">
        <v>35</v>
      </c>
    </row>
    <row r="5" ht="15.75" customHeight="1">
      <c r="B5" s="8" t="s">
        <v>9</v>
      </c>
      <c r="C5" s="11">
        <f>C3*C4</f>
        <v>11983000</v>
      </c>
      <c r="D5" s="10"/>
    </row>
    <row r="6" ht="15.75" customHeight="1">
      <c r="B6" s="12" t="s">
        <v>10</v>
      </c>
      <c r="C6" s="13">
        <f>C5</f>
        <v>11983000</v>
      </c>
      <c r="D6" s="22">
        <f>C6/4</f>
        <v>2995750</v>
      </c>
      <c r="E6" s="15">
        <v>1.0</v>
      </c>
    </row>
    <row r="7" ht="15.75" customHeight="1">
      <c r="B7" s="16"/>
      <c r="C7" s="17"/>
      <c r="D7" s="18"/>
    </row>
    <row r="8" ht="15.75" customHeight="1">
      <c r="B8" s="8" t="s">
        <v>36</v>
      </c>
      <c r="C8" s="19">
        <f>C6*E8</f>
        <v>3115580</v>
      </c>
      <c r="D8" s="20">
        <f>C8/C$4</f>
        <v>5980</v>
      </c>
      <c r="E8" s="7">
        <v>0.26</v>
      </c>
      <c r="F8" s="8" t="s">
        <v>37</v>
      </c>
    </row>
    <row r="9" ht="15.75" customHeight="1">
      <c r="B9" s="8" t="s">
        <v>13</v>
      </c>
      <c r="C9" s="19">
        <f>D9*C4</f>
        <v>4194050</v>
      </c>
      <c r="D9" s="20">
        <f t="shared" ref="D9:D10" si="1">E9*C3</f>
        <v>8050</v>
      </c>
      <c r="E9" s="7">
        <v>0.35</v>
      </c>
      <c r="F9" s="8" t="s">
        <v>14</v>
      </c>
    </row>
    <row r="10" ht="15.75" customHeight="1">
      <c r="B10" s="8" t="s">
        <v>15</v>
      </c>
      <c r="C10" s="19">
        <f>E10*C6</f>
        <v>599150</v>
      </c>
      <c r="D10" s="20">
        <f t="shared" si="1"/>
        <v>26.05</v>
      </c>
      <c r="E10" s="7">
        <v>0.05</v>
      </c>
      <c r="F10" s="8" t="s">
        <v>16</v>
      </c>
    </row>
    <row r="11" ht="15.75" customHeight="1">
      <c r="B11" s="12" t="s">
        <v>17</v>
      </c>
      <c r="C11" s="21">
        <f>SUM(C8:C10)</f>
        <v>7908780</v>
      </c>
      <c r="D11" s="22">
        <f>C11/C$4</f>
        <v>15180</v>
      </c>
      <c r="R11" s="24">
        <v>802.0</v>
      </c>
    </row>
    <row r="12" ht="15.75" customHeight="1">
      <c r="C12" s="25"/>
      <c r="D12" s="26"/>
      <c r="R12" s="24">
        <v>753.0</v>
      </c>
    </row>
    <row r="13" ht="15.75" customHeight="1">
      <c r="B13" s="8" t="s">
        <v>38</v>
      </c>
      <c r="C13" s="27">
        <f t="shared" ref="C13:C17" si="2">-E13*C$5</f>
        <v>0</v>
      </c>
      <c r="D13" s="28">
        <f t="shared" ref="D13:D17" si="3">C13/$C$4</f>
        <v>0</v>
      </c>
      <c r="E13" s="7">
        <v>0.0</v>
      </c>
      <c r="F13" s="8" t="s">
        <v>39</v>
      </c>
      <c r="R13" s="24"/>
    </row>
    <row r="14" ht="15.75" customHeight="1">
      <c r="B14" s="8" t="s">
        <v>40</v>
      </c>
      <c r="C14" s="27">
        <f t="shared" si="2"/>
        <v>0</v>
      </c>
      <c r="D14" s="28">
        <f t="shared" si="3"/>
        <v>0</v>
      </c>
      <c r="E14" s="7">
        <v>0.0</v>
      </c>
      <c r="F14" s="8" t="s">
        <v>39</v>
      </c>
      <c r="R14" s="24"/>
    </row>
    <row r="15" ht="15.75" customHeight="1">
      <c r="B15" s="8" t="s">
        <v>41</v>
      </c>
      <c r="C15" s="27">
        <f t="shared" si="2"/>
        <v>0</v>
      </c>
      <c r="D15" s="28">
        <f t="shared" si="3"/>
        <v>0</v>
      </c>
      <c r="E15" s="7">
        <v>0.0</v>
      </c>
      <c r="F15" s="8" t="s">
        <v>39</v>
      </c>
      <c r="R15" s="24"/>
    </row>
    <row r="16" ht="15.75" customHeight="1">
      <c r="B16" s="8" t="s">
        <v>42</v>
      </c>
      <c r="C16" s="27">
        <f t="shared" si="2"/>
        <v>0</v>
      </c>
      <c r="D16" s="28">
        <f t="shared" si="3"/>
        <v>0</v>
      </c>
      <c r="E16" s="7">
        <v>0.0</v>
      </c>
      <c r="F16" s="8" t="s">
        <v>43</v>
      </c>
      <c r="R16" s="24"/>
    </row>
    <row r="17" ht="15.75" customHeight="1">
      <c r="B17" s="8" t="s">
        <v>44</v>
      </c>
      <c r="C17" s="27">
        <f t="shared" si="2"/>
        <v>-958640</v>
      </c>
      <c r="D17" s="28">
        <f t="shared" si="3"/>
        <v>-1840</v>
      </c>
      <c r="E17" s="7">
        <v>0.08</v>
      </c>
      <c r="F17" s="8" t="s">
        <v>44</v>
      </c>
      <c r="R17" s="24"/>
    </row>
    <row r="18" ht="15.75" customHeight="1">
      <c r="B18" s="12" t="s">
        <v>28</v>
      </c>
      <c r="C18" s="13">
        <f t="shared" ref="C18:E18" si="4">SUM(C13:C17)</f>
        <v>-958640</v>
      </c>
      <c r="D18" s="22">
        <f t="shared" si="4"/>
        <v>-1840</v>
      </c>
      <c r="E18" s="29">
        <f t="shared" si="4"/>
        <v>0.08</v>
      </c>
      <c r="R18" s="24"/>
    </row>
    <row r="19" ht="15.75" customHeight="1">
      <c r="B19" s="30"/>
      <c r="C19" s="27"/>
      <c r="D19" s="28"/>
      <c r="R19" s="24"/>
    </row>
    <row r="20" ht="15.75" customHeight="1">
      <c r="B20" s="12" t="s">
        <v>29</v>
      </c>
      <c r="C20" s="31">
        <f>C6-C11- (-C18)</f>
        <v>3115580</v>
      </c>
      <c r="D20" s="40">
        <f>C20/C$4</f>
        <v>5980</v>
      </c>
      <c r="E20" s="41">
        <f>E6-E8-E9-E10-E13-E14-E15-E16-E17</f>
        <v>0.26</v>
      </c>
      <c r="R20" s="24">
        <v>126.0</v>
      </c>
    </row>
    <row r="21" ht="15.75" customHeight="1">
      <c r="R21" s="24">
        <v>71.0</v>
      </c>
    </row>
    <row r="22" ht="15.75" customHeight="1">
      <c r="B22" s="34" t="s">
        <v>30</v>
      </c>
      <c r="C22" s="35">
        <f>C20/C6</f>
        <v>0.26</v>
      </c>
      <c r="F22" s="36"/>
    </row>
    <row r="23" ht="15.75" customHeight="1"/>
    <row r="24" ht="15.75" customHeight="1">
      <c r="B24" s="34" t="s">
        <v>31</v>
      </c>
      <c r="C24" s="31">
        <f>C20*12</f>
        <v>37386960</v>
      </c>
      <c r="F24" s="37"/>
    </row>
    <row r="25" ht="15.75" customHeight="1">
      <c r="B25" s="34" t="s">
        <v>32</v>
      </c>
      <c r="C25" s="38">
        <f>C24*0.19</f>
        <v>7103522.4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1 B13:B15 B16:D20 B22:C22 B24:C25 C2:D15 E2:F2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9.38"/>
    <col customWidth="1" min="3" max="3" width="18.0"/>
  </cols>
  <sheetData>
    <row r="1" ht="15.75" customHeight="1">
      <c r="A1" s="1"/>
    </row>
    <row r="2" ht="15.75" customHeight="1">
      <c r="B2" s="2" t="s">
        <v>0</v>
      </c>
      <c r="C2" s="3" t="s">
        <v>1</v>
      </c>
      <c r="D2" s="3" t="s">
        <v>34</v>
      </c>
    </row>
    <row r="3" ht="15.75" customHeight="1">
      <c r="B3" s="4" t="s">
        <v>5</v>
      </c>
      <c r="C3" s="42">
        <f>(22.66)*(1+E3)</f>
        <v>22.66</v>
      </c>
      <c r="D3" s="6"/>
      <c r="E3" s="7">
        <v>0.0</v>
      </c>
      <c r="F3" s="8" t="s">
        <v>45</v>
      </c>
    </row>
    <row r="4" ht="15.75" customHeight="1">
      <c r="B4" s="4" t="s">
        <v>7</v>
      </c>
      <c r="C4" s="9">
        <f>83565*E4</f>
        <v>83565</v>
      </c>
      <c r="D4" s="10"/>
      <c r="E4" s="7">
        <v>1.0</v>
      </c>
      <c r="F4" s="8" t="s">
        <v>46</v>
      </c>
    </row>
    <row r="5" ht="15.75" customHeight="1">
      <c r="B5" s="8" t="s">
        <v>9</v>
      </c>
      <c r="C5" s="11">
        <f>C3*C4</f>
        <v>1893582.9</v>
      </c>
      <c r="D5" s="10"/>
    </row>
    <row r="6" ht="15.75" customHeight="1">
      <c r="B6" s="12" t="s">
        <v>10</v>
      </c>
      <c r="C6" s="13">
        <f>C5</f>
        <v>1893582.9</v>
      </c>
      <c r="D6" s="14">
        <f>C6/C$4</f>
        <v>22.66</v>
      </c>
    </row>
    <row r="7" ht="15.75" customHeight="1">
      <c r="B7" s="16"/>
      <c r="C7" s="17"/>
      <c r="D7" s="18"/>
    </row>
    <row r="8" ht="15.75" customHeight="1">
      <c r="B8" s="8" t="s">
        <v>47</v>
      </c>
      <c r="C8" s="19">
        <f>-C6*E8*1.19</f>
        <v>-473206.3667</v>
      </c>
      <c r="D8" s="20">
        <f t="shared" ref="D8:D14" si="1">C8/C$4</f>
        <v>-5.662734</v>
      </c>
      <c r="E8" s="7">
        <v>0.21</v>
      </c>
      <c r="F8" s="8" t="s">
        <v>48</v>
      </c>
    </row>
    <row r="9" ht="15.75" customHeight="1">
      <c r="B9" s="4" t="s">
        <v>49</v>
      </c>
      <c r="C9" s="19">
        <v>0.0</v>
      </c>
      <c r="D9" s="43">
        <f t="shared" si="1"/>
        <v>0</v>
      </c>
    </row>
    <row r="10" ht="15.75" customHeight="1">
      <c r="B10" s="4" t="s">
        <v>50</v>
      </c>
      <c r="C10" s="19">
        <f>C6*E10</f>
        <v>37871.658</v>
      </c>
      <c r="D10" s="20">
        <f t="shared" si="1"/>
        <v>0.4532</v>
      </c>
      <c r="E10" s="7">
        <v>0.02</v>
      </c>
      <c r="F10" s="30" t="s">
        <v>51</v>
      </c>
    </row>
    <row r="11" ht="15.75" customHeight="1">
      <c r="B11" s="8" t="s">
        <v>13</v>
      </c>
      <c r="C11" s="19">
        <f t="shared" ref="C11:C13" si="2">-C$6*E11</f>
        <v>-757433.16</v>
      </c>
      <c r="D11" s="20">
        <f t="shared" si="1"/>
        <v>-9.064</v>
      </c>
      <c r="E11" s="7">
        <v>0.4</v>
      </c>
      <c r="F11" s="8" t="s">
        <v>52</v>
      </c>
    </row>
    <row r="12" ht="15.75" customHeight="1">
      <c r="B12" s="8" t="s">
        <v>15</v>
      </c>
      <c r="C12" s="19">
        <f t="shared" si="2"/>
        <v>-37871.658</v>
      </c>
      <c r="D12" s="20">
        <f t="shared" si="1"/>
        <v>-0.4532</v>
      </c>
      <c r="E12" s="7">
        <v>0.02</v>
      </c>
      <c r="F12" s="8" t="s">
        <v>53</v>
      </c>
    </row>
    <row r="13" ht="15.75" customHeight="1">
      <c r="B13" s="8" t="s">
        <v>54</v>
      </c>
      <c r="C13" s="19">
        <f t="shared" si="2"/>
        <v>0</v>
      </c>
      <c r="D13" s="20">
        <f t="shared" si="1"/>
        <v>0</v>
      </c>
      <c r="E13" s="7">
        <v>0.0</v>
      </c>
      <c r="F13" s="8" t="s">
        <v>55</v>
      </c>
    </row>
    <row r="14" ht="15.75" customHeight="1">
      <c r="B14" s="12" t="s">
        <v>17</v>
      </c>
      <c r="C14" s="21">
        <f>SUM(C8:C13)</f>
        <v>-1230639.527</v>
      </c>
      <c r="D14" s="22">
        <f t="shared" si="1"/>
        <v>-14.726734</v>
      </c>
      <c r="R14" s="24">
        <v>802.0</v>
      </c>
    </row>
    <row r="15" ht="15.75" customHeight="1">
      <c r="C15" s="25"/>
      <c r="D15" s="26"/>
      <c r="R15" s="24">
        <v>753.0</v>
      </c>
    </row>
    <row r="16" ht="15.75" customHeight="1">
      <c r="B16" s="12" t="s">
        <v>56</v>
      </c>
      <c r="C16" s="13">
        <f>-(C5*E16)</f>
        <v>-189358.29</v>
      </c>
      <c r="D16" s="22"/>
      <c r="E16" s="7">
        <v>0.1</v>
      </c>
      <c r="F16" s="8" t="s">
        <v>57</v>
      </c>
      <c r="G16" s="30" t="s">
        <v>51</v>
      </c>
      <c r="R16" s="24"/>
    </row>
    <row r="17" ht="15.75" customHeight="1">
      <c r="B17" s="30"/>
      <c r="C17" s="27"/>
      <c r="D17" s="28"/>
      <c r="R17" s="24"/>
    </row>
    <row r="18" ht="15.75" customHeight="1">
      <c r="B18" s="12" t="s">
        <v>29</v>
      </c>
      <c r="C18" s="31">
        <f>C6+C14+C16</f>
        <v>473585.0833</v>
      </c>
      <c r="D18" s="22">
        <f>C18/C$4</f>
        <v>5.667266</v>
      </c>
      <c r="R18" s="24">
        <v>126.0</v>
      </c>
    </row>
    <row r="19" ht="15.75" customHeight="1">
      <c r="R19" s="24">
        <v>71.0</v>
      </c>
    </row>
    <row r="20" ht="15.75" customHeight="1">
      <c r="B20" s="34" t="s">
        <v>30</v>
      </c>
      <c r="C20" s="35">
        <f>C18/C6</f>
        <v>0.2501</v>
      </c>
      <c r="F20" s="36"/>
    </row>
    <row r="21" ht="15.75" customHeight="1"/>
    <row r="22" ht="15.75" customHeight="1">
      <c r="B22" s="34" t="s">
        <v>31</v>
      </c>
      <c r="C22" s="31">
        <f>C18*12</f>
        <v>5683020.999</v>
      </c>
      <c r="F22" s="37"/>
    </row>
    <row r="23" ht="15.75" customHeight="1">
      <c r="B23" s="34" t="s">
        <v>32</v>
      </c>
      <c r="C23" s="38">
        <f>C22/4800</f>
        <v>1183.962708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4 B16:B18 B20:C20 B22:C23 C2:D18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9.38"/>
    <col customWidth="1" min="3" max="3" width="18.0"/>
  </cols>
  <sheetData>
    <row r="1" ht="15.75" customHeight="1">
      <c r="A1" s="1"/>
    </row>
    <row r="2" ht="15.75" customHeight="1">
      <c r="B2" s="2" t="s">
        <v>0</v>
      </c>
      <c r="C2" s="3" t="s">
        <v>1</v>
      </c>
      <c r="D2" s="3" t="s">
        <v>34</v>
      </c>
    </row>
    <row r="3" ht="15.75" customHeight="1">
      <c r="B3" s="4" t="s">
        <v>5</v>
      </c>
      <c r="C3" s="5">
        <f>(30000)*(1+E3)</f>
        <v>30000</v>
      </c>
      <c r="D3" s="6"/>
      <c r="E3" s="7">
        <v>0.0</v>
      </c>
      <c r="F3" s="8" t="s">
        <v>45</v>
      </c>
    </row>
    <row r="4" ht="15.75" customHeight="1">
      <c r="B4" s="4" t="s">
        <v>7</v>
      </c>
      <c r="C4" s="9">
        <v>400.0</v>
      </c>
      <c r="D4" s="10"/>
      <c r="E4" s="7">
        <v>1.0</v>
      </c>
      <c r="F4" s="8" t="s">
        <v>46</v>
      </c>
    </row>
    <row r="5" ht="15.75" customHeight="1">
      <c r="B5" s="8" t="s">
        <v>9</v>
      </c>
      <c r="C5" s="11">
        <f>C3*C4</f>
        <v>12000000</v>
      </c>
      <c r="D5" s="10"/>
    </row>
    <row r="6" ht="15.75" customHeight="1">
      <c r="B6" s="12" t="s">
        <v>10</v>
      </c>
      <c r="C6" s="13">
        <f>C5</f>
        <v>12000000</v>
      </c>
      <c r="D6" s="22">
        <f>C6/C$4</f>
        <v>30000</v>
      </c>
    </row>
    <row r="7" ht="15.75" customHeight="1">
      <c r="B7" s="16"/>
      <c r="C7" s="17"/>
      <c r="D7" s="18"/>
    </row>
    <row r="8" ht="15.75" customHeight="1">
      <c r="B8" s="8" t="s">
        <v>47</v>
      </c>
      <c r="C8" s="19">
        <f>-C6*E8*1.2</f>
        <v>-3744000</v>
      </c>
      <c r="D8" s="20">
        <f t="shared" ref="D8:D13" si="1">C8/C$4</f>
        <v>-9360</v>
      </c>
      <c r="E8" s="7">
        <v>0.26</v>
      </c>
      <c r="F8" s="8" t="s">
        <v>48</v>
      </c>
    </row>
    <row r="9" ht="15.75" customHeight="1">
      <c r="B9" s="4" t="s">
        <v>49</v>
      </c>
      <c r="C9" s="19">
        <v>0.0</v>
      </c>
      <c r="D9" s="43">
        <f t="shared" si="1"/>
        <v>0</v>
      </c>
    </row>
    <row r="10" ht="15.75" customHeight="1">
      <c r="B10" s="4" t="s">
        <v>50</v>
      </c>
      <c r="C10" s="19">
        <f>-C6*E10</f>
        <v>-120000</v>
      </c>
      <c r="D10" s="20">
        <f t="shared" si="1"/>
        <v>-300</v>
      </c>
      <c r="E10" s="7">
        <v>0.01</v>
      </c>
      <c r="F10" s="8"/>
    </row>
    <row r="11" ht="15.75" customHeight="1">
      <c r="B11" s="8" t="s">
        <v>13</v>
      </c>
      <c r="C11" s="19">
        <f t="shared" ref="C11:C12" si="2">-C$6*E11</f>
        <v>-4800000</v>
      </c>
      <c r="D11" s="20">
        <f t="shared" si="1"/>
        <v>-12000</v>
      </c>
      <c r="E11" s="7">
        <v>0.4</v>
      </c>
      <c r="F11" s="8" t="s">
        <v>52</v>
      </c>
    </row>
    <row r="12" ht="15.75" customHeight="1">
      <c r="B12" s="8" t="s">
        <v>15</v>
      </c>
      <c r="C12" s="19">
        <f t="shared" si="2"/>
        <v>-240000</v>
      </c>
      <c r="D12" s="20">
        <f t="shared" si="1"/>
        <v>-600</v>
      </c>
      <c r="E12" s="7">
        <v>0.02</v>
      </c>
      <c r="F12" s="8" t="s">
        <v>53</v>
      </c>
    </row>
    <row r="13" ht="15.75" customHeight="1">
      <c r="B13" s="12" t="s">
        <v>17</v>
      </c>
      <c r="C13" s="21">
        <f>SUM(C8:C12)</f>
        <v>-8904000</v>
      </c>
      <c r="D13" s="22">
        <f t="shared" si="1"/>
        <v>-22260</v>
      </c>
      <c r="R13" s="24">
        <v>802.0</v>
      </c>
    </row>
    <row r="14" ht="15.75" customHeight="1">
      <c r="C14" s="25"/>
      <c r="D14" s="26"/>
      <c r="R14" s="24">
        <v>753.0</v>
      </c>
    </row>
    <row r="15" ht="15.75" customHeight="1">
      <c r="B15" s="12" t="s">
        <v>56</v>
      </c>
      <c r="C15" s="13">
        <f>-E15*C6</f>
        <v>0</v>
      </c>
      <c r="D15" s="22"/>
      <c r="E15" s="7">
        <v>0.0</v>
      </c>
      <c r="F15" s="8" t="s">
        <v>57</v>
      </c>
      <c r="R15" s="24"/>
    </row>
    <row r="16" ht="15.75" customHeight="1">
      <c r="B16" s="30"/>
      <c r="C16" s="27"/>
      <c r="D16" s="28"/>
      <c r="R16" s="24"/>
    </row>
    <row r="17" ht="15.75" customHeight="1">
      <c r="B17" s="12" t="s">
        <v>29</v>
      </c>
      <c r="C17" s="31">
        <f>C6+C13</f>
        <v>3096000</v>
      </c>
      <c r="D17" s="22">
        <f>C17/C$4</f>
        <v>7740</v>
      </c>
      <c r="R17" s="24">
        <v>126.0</v>
      </c>
    </row>
    <row r="18" ht="15.75" customHeight="1">
      <c r="R18" s="24">
        <v>71.0</v>
      </c>
    </row>
    <row r="19" ht="15.75" customHeight="1">
      <c r="B19" s="34" t="s">
        <v>30</v>
      </c>
      <c r="C19" s="35">
        <f>C17/C6</f>
        <v>0.258</v>
      </c>
      <c r="F19" s="36"/>
    </row>
    <row r="20" ht="15.75" customHeight="1"/>
    <row r="21" ht="15.75" customHeight="1">
      <c r="B21" s="34" t="s">
        <v>31</v>
      </c>
      <c r="C21" s="31">
        <f>C17*12</f>
        <v>37152000</v>
      </c>
      <c r="F21" s="37"/>
    </row>
    <row r="22" ht="15.75" customHeight="1">
      <c r="B22" s="34" t="s">
        <v>32</v>
      </c>
      <c r="C22" s="38">
        <f>C21/4800</f>
        <v>7740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3 B15:B17 B19:C19 B21:C22 C2:D17">
    <cfRule type="cellIs" dxfId="0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44" t="s">
        <v>58</v>
      </c>
      <c r="B1" s="44" t="s">
        <v>59</v>
      </c>
      <c r="C1" s="44" t="s">
        <v>60</v>
      </c>
      <c r="D1" s="44" t="s">
        <v>61</v>
      </c>
      <c r="E1" s="44" t="s">
        <v>62</v>
      </c>
      <c r="F1" s="44" t="s">
        <v>63</v>
      </c>
      <c r="G1" s="44" t="s">
        <v>64</v>
      </c>
      <c r="H1" s="44" t="s">
        <v>65</v>
      </c>
      <c r="I1" s="45" t="s">
        <v>66</v>
      </c>
      <c r="J1" s="45" t="s">
        <v>67</v>
      </c>
      <c r="K1" s="45" t="s">
        <v>68</v>
      </c>
      <c r="L1" s="44" t="s">
        <v>69</v>
      </c>
      <c r="M1" s="45" t="s">
        <v>70</v>
      </c>
      <c r="N1" s="46" t="s">
        <v>71</v>
      </c>
      <c r="O1" s="46" t="s">
        <v>72</v>
      </c>
      <c r="P1" s="44" t="s">
        <v>73</v>
      </c>
      <c r="Q1" s="47" t="s">
        <v>74</v>
      </c>
      <c r="R1" s="48" t="s">
        <v>75</v>
      </c>
      <c r="S1" s="47" t="s">
        <v>76</v>
      </c>
      <c r="T1" s="49" t="s">
        <v>77</v>
      </c>
      <c r="U1" s="47" t="s">
        <v>78</v>
      </c>
      <c r="V1" s="46" t="s">
        <v>79</v>
      </c>
      <c r="W1" s="44" t="s">
        <v>80</v>
      </c>
      <c r="X1" s="44" t="s">
        <v>81</v>
      </c>
      <c r="Y1" s="50" t="s">
        <v>82</v>
      </c>
      <c r="Z1" s="50" t="s">
        <v>83</v>
      </c>
      <c r="AA1" s="50" t="s">
        <v>84</v>
      </c>
      <c r="AB1" s="50" t="s">
        <v>85</v>
      </c>
      <c r="AC1" s="44" t="s">
        <v>86</v>
      </c>
      <c r="AD1" s="50" t="s">
        <v>87</v>
      </c>
      <c r="AE1" s="51" t="s">
        <v>88</v>
      </c>
      <c r="AF1" s="52" t="s">
        <v>89</v>
      </c>
      <c r="AG1" s="52" t="s">
        <v>90</v>
      </c>
      <c r="AH1" s="52" t="s">
        <v>91</v>
      </c>
      <c r="AI1" s="44" t="s">
        <v>92</v>
      </c>
      <c r="AJ1" s="44" t="s">
        <v>93</v>
      </c>
      <c r="AK1" s="44" t="s">
        <v>94</v>
      </c>
      <c r="AL1" s="44" t="s">
        <v>95</v>
      </c>
      <c r="AM1" s="44" t="s">
        <v>96</v>
      </c>
      <c r="AN1" s="44" t="s">
        <v>97</v>
      </c>
      <c r="AO1" s="46" t="s">
        <v>98</v>
      </c>
      <c r="AP1" s="46" t="s">
        <v>99</v>
      </c>
      <c r="AQ1" s="44" t="s">
        <v>100</v>
      </c>
      <c r="AR1" s="44" t="s">
        <v>101</v>
      </c>
      <c r="AS1" s="53" t="s">
        <v>102</v>
      </c>
      <c r="AT1" s="50" t="s">
        <v>103</v>
      </c>
      <c r="AU1" s="50" t="s">
        <v>104</v>
      </c>
      <c r="AV1" s="50" t="s">
        <v>105</v>
      </c>
      <c r="AW1" s="50" t="s">
        <v>106</v>
      </c>
      <c r="AX1" s="50" t="s">
        <v>107</v>
      </c>
      <c r="AY1" s="44" t="s">
        <v>108</v>
      </c>
      <c r="AZ1" s="44" t="s">
        <v>109</v>
      </c>
      <c r="BA1" s="44" t="s">
        <v>110</v>
      </c>
      <c r="BB1" s="44" t="s">
        <v>111</v>
      </c>
      <c r="BC1" s="44" t="s">
        <v>112</v>
      </c>
      <c r="BD1" s="44" t="s">
        <v>113</v>
      </c>
      <c r="BE1" s="44" t="s">
        <v>114</v>
      </c>
      <c r="BF1" s="44" t="s">
        <v>115</v>
      </c>
      <c r="BG1" s="54" t="s">
        <v>116</v>
      </c>
      <c r="BH1" s="54" t="s">
        <v>117</v>
      </c>
      <c r="BI1" s="54" t="s">
        <v>118</v>
      </c>
      <c r="BJ1" s="54" t="s">
        <v>119</v>
      </c>
      <c r="BK1" s="54" t="s">
        <v>120</v>
      </c>
      <c r="BL1" s="54" t="s">
        <v>121</v>
      </c>
      <c r="BM1" s="54" t="s">
        <v>122</v>
      </c>
      <c r="BN1" s="54" t="s">
        <v>123</v>
      </c>
      <c r="BO1" s="54" t="s">
        <v>124</v>
      </c>
      <c r="BP1" s="54" t="s">
        <v>125</v>
      </c>
      <c r="BQ1" s="54" t="s">
        <v>126</v>
      </c>
      <c r="BR1" s="54" t="s">
        <v>127</v>
      </c>
      <c r="BS1" s="54" t="s">
        <v>128</v>
      </c>
      <c r="BT1" s="54" t="s">
        <v>129</v>
      </c>
      <c r="BU1" s="55" t="s">
        <v>130</v>
      </c>
      <c r="BV1" s="56" t="s">
        <v>131</v>
      </c>
      <c r="BW1" s="56" t="s">
        <v>132</v>
      </c>
      <c r="BX1" s="56" t="s">
        <v>133</v>
      </c>
      <c r="BY1" s="56" t="s">
        <v>134</v>
      </c>
      <c r="BZ1" s="56" t="s">
        <v>135</v>
      </c>
      <c r="CA1" s="57" t="s">
        <v>136</v>
      </c>
      <c r="CB1" s="57" t="s">
        <v>137</v>
      </c>
      <c r="CC1" s="56" t="s">
        <v>138</v>
      </c>
      <c r="CD1" s="56" t="s">
        <v>139</v>
      </c>
      <c r="CE1" s="56" t="s">
        <v>140</v>
      </c>
      <c r="CF1" s="58" t="s">
        <v>141</v>
      </c>
      <c r="CG1" s="58" t="s">
        <v>142</v>
      </c>
      <c r="CH1" s="58" t="s">
        <v>143</v>
      </c>
      <c r="CI1" s="56" t="s">
        <v>144</v>
      </c>
    </row>
    <row r="2" ht="15.75" customHeight="1">
      <c r="A2" s="59" t="s">
        <v>145</v>
      </c>
      <c r="B2" s="60" t="s">
        <v>146</v>
      </c>
      <c r="C2" s="60" t="s">
        <v>147</v>
      </c>
      <c r="D2" s="60" t="s">
        <v>148</v>
      </c>
      <c r="E2" s="59">
        <v>5.0</v>
      </c>
      <c r="F2" s="59">
        <v>30.0</v>
      </c>
      <c r="G2" s="59">
        <v>14.0</v>
      </c>
      <c r="H2" s="8" t="s">
        <v>149</v>
      </c>
      <c r="I2" s="61">
        <v>43101.0</v>
      </c>
      <c r="J2" s="61">
        <v>44691.0</v>
      </c>
      <c r="K2" s="61">
        <v>44774.0</v>
      </c>
      <c r="L2" s="61" t="str">
        <f t="shared" ref="L2:L6" si="1">IF(K2&lt;44835,"Q3",IF(K2&lt;44927,"Q4","2023+"))</f>
        <v>Q3</v>
      </c>
      <c r="M2" s="61">
        <v>45056.0</v>
      </c>
      <c r="N2" s="62">
        <v>503008.164705882</v>
      </c>
      <c r="O2" s="62">
        <v>402073.867647059</v>
      </c>
      <c r="P2" s="59">
        <v>22468.0</v>
      </c>
      <c r="Q2" s="63">
        <v>17.89540091</v>
      </c>
      <c r="R2" s="62">
        <f>S2*P2</f>
        <v>36999.75865</v>
      </c>
      <c r="S2" s="63">
        <v>1.646775799</v>
      </c>
      <c r="T2" s="62">
        <f t="shared" ref="T2:T6" si="2">U2*P2</f>
        <v>32891.57367</v>
      </c>
      <c r="U2" s="63">
        <v>1.463929752</v>
      </c>
      <c r="V2" s="62">
        <v>48432.618235294</v>
      </c>
      <c r="W2" s="59">
        <v>0.0</v>
      </c>
      <c r="X2" s="59">
        <v>0.0</v>
      </c>
      <c r="Y2" s="64">
        <v>0.1204570158</v>
      </c>
      <c r="Z2" s="64">
        <v>0.1204570158</v>
      </c>
      <c r="AA2" s="64">
        <v>0.0</v>
      </c>
      <c r="AB2" s="64">
        <v>0.0</v>
      </c>
      <c r="AC2" s="59" t="s">
        <v>150</v>
      </c>
      <c r="AD2" s="64">
        <v>0.12</v>
      </c>
      <c r="AE2" s="65">
        <v>0.0</v>
      </c>
      <c r="AF2" s="60" t="s">
        <v>151</v>
      </c>
      <c r="AG2" s="60" t="s">
        <v>152</v>
      </c>
      <c r="AH2" s="60" t="s">
        <v>153</v>
      </c>
      <c r="AI2" s="59">
        <v>1.0</v>
      </c>
      <c r="AJ2" s="59">
        <v>1.0</v>
      </c>
      <c r="AK2" s="59">
        <v>1.0</v>
      </c>
      <c r="AL2" s="59">
        <v>0.0</v>
      </c>
      <c r="AM2" s="66">
        <v>43682.0</v>
      </c>
      <c r="AN2" s="60" t="s">
        <v>154</v>
      </c>
      <c r="AO2" s="62">
        <v>201250.023529412</v>
      </c>
      <c r="AP2" s="62">
        <v>200823.844117647</v>
      </c>
      <c r="AQ2" s="59">
        <v>11576.0</v>
      </c>
      <c r="AR2" s="59">
        <v>10892.0</v>
      </c>
      <c r="AS2" s="67">
        <v>2676.970588235</v>
      </c>
      <c r="AT2" s="64">
        <v>0.5868062362</v>
      </c>
      <c r="AU2" s="64">
        <v>0.2389487182</v>
      </c>
      <c r="AV2" s="64">
        <v>0.27883</v>
      </c>
      <c r="AW2" s="64">
        <v>0.407714</v>
      </c>
      <c r="AX2" s="64">
        <v>0.036763</v>
      </c>
      <c r="AY2" s="59">
        <v>18692.0</v>
      </c>
      <c r="AZ2" s="59">
        <v>6970.0</v>
      </c>
      <c r="BA2" s="59">
        <v>35.0</v>
      </c>
      <c r="BB2" s="59">
        <v>272.0</v>
      </c>
      <c r="BC2" s="59">
        <v>1800.0</v>
      </c>
      <c r="BD2" s="60" t="s">
        <v>155</v>
      </c>
      <c r="BE2" s="68" t="s">
        <v>156</v>
      </c>
      <c r="BF2" s="69">
        <v>7.457432127</v>
      </c>
      <c r="BG2" s="70">
        <v>48426.615882353</v>
      </c>
      <c r="BH2" s="70">
        <v>0.0</v>
      </c>
      <c r="BI2" s="70">
        <v>41700.010425723</v>
      </c>
      <c r="BJ2" s="70">
        <v>-29412.849682194</v>
      </c>
      <c r="BK2" s="70">
        <v>-12784.496173592</v>
      </c>
      <c r="BL2" s="70">
        <v>-3419.51</v>
      </c>
      <c r="BM2" s="70">
        <v>0.0</v>
      </c>
      <c r="BN2" s="70">
        <v>0.0</v>
      </c>
      <c r="BO2" s="70">
        <v>-502.153</v>
      </c>
      <c r="BP2" s="70">
        <v>4727.966</v>
      </c>
      <c r="BQ2" s="70">
        <v>-306.410147059</v>
      </c>
      <c r="BR2" s="70">
        <v>43695.666922878</v>
      </c>
      <c r="BS2" s="70">
        <v>34895.003285637</v>
      </c>
      <c r="BT2" s="70">
        <v>25325.684912904</v>
      </c>
      <c r="BU2" s="64">
        <f t="shared" ref="BU2:BU6" si="3">-BQ2/O2</f>
        <v>0.0007620742647</v>
      </c>
      <c r="BV2" s="71" t="s">
        <v>157</v>
      </c>
      <c r="BW2" s="71" t="s">
        <v>157</v>
      </c>
      <c r="BX2" s="71">
        <v>0.0</v>
      </c>
      <c r="BY2" s="65" t="s">
        <v>158</v>
      </c>
      <c r="BZ2" s="65" t="s">
        <v>158</v>
      </c>
      <c r="CA2" s="65">
        <f t="shared" ref="CA2:CA6" si="4">IFERROR(AVERAGE(AD2),Z2)</f>
        <v>0.12</v>
      </c>
      <c r="CB2" s="65" t="str">
        <f t="shared" ref="CB2:CB6" si="5">BZ2-CA2</f>
        <v>#VALUE!</v>
      </c>
      <c r="CC2" s="62" t="str">
        <f t="shared" ref="CC2:CC6" si="6">MAX(CB2*O2,0)</f>
        <v>#VALUE!</v>
      </c>
      <c r="CD2" s="60" t="str">
        <f t="shared" ref="CD2:CD6" si="7">IF(CC2=0,"Sí","No")</f>
        <v>#VALUE!</v>
      </c>
      <c r="CE2" s="60" t="s">
        <v>158</v>
      </c>
      <c r="CF2" s="60" t="s">
        <v>159</v>
      </c>
      <c r="CG2" s="60" t="s">
        <v>154</v>
      </c>
      <c r="CH2" s="60" t="s">
        <v>154</v>
      </c>
      <c r="CI2" s="59">
        <v>0.0</v>
      </c>
    </row>
    <row r="3" ht="15.75" customHeight="1">
      <c r="A3" s="59" t="s">
        <v>160</v>
      </c>
      <c r="B3" s="60" t="s">
        <v>161</v>
      </c>
      <c r="C3" s="60" t="s">
        <v>147</v>
      </c>
      <c r="D3" s="60" t="s">
        <v>162</v>
      </c>
      <c r="E3" s="59">
        <v>33.0</v>
      </c>
      <c r="F3" s="59">
        <v>4.0</v>
      </c>
      <c r="G3" s="59">
        <v>4.0</v>
      </c>
      <c r="H3" s="8" t="s">
        <v>163</v>
      </c>
      <c r="I3" s="61">
        <v>43466.0</v>
      </c>
      <c r="J3" s="61">
        <v>44295.0</v>
      </c>
      <c r="K3" s="61">
        <v>44774.0</v>
      </c>
      <c r="L3" s="61" t="str">
        <f t="shared" si="1"/>
        <v>Q3</v>
      </c>
      <c r="M3" s="61">
        <v>44926.0</v>
      </c>
      <c r="N3" s="62">
        <v>129106.314705882</v>
      </c>
      <c r="O3" s="62">
        <v>109489.205882353</v>
      </c>
      <c r="P3" s="59">
        <v>8689.0</v>
      </c>
      <c r="Q3" s="63">
        <v>12.600898364</v>
      </c>
      <c r="R3" s="63"/>
      <c r="S3" s="63">
        <v>0.9509467718</v>
      </c>
      <c r="T3" s="62">
        <f t="shared" si="2"/>
        <v>3225.79798</v>
      </c>
      <c r="U3" s="63">
        <v>0.3712507746</v>
      </c>
      <c r="V3" s="62">
        <v>13125.447058824</v>
      </c>
      <c r="W3" s="59">
        <v>0.0</v>
      </c>
      <c r="X3" s="59">
        <v>0.0</v>
      </c>
      <c r="Y3" s="64">
        <v>0.1198789137</v>
      </c>
      <c r="Z3" s="64">
        <v>0.1198789137</v>
      </c>
      <c r="AA3" s="64">
        <v>0.0</v>
      </c>
      <c r="AB3" s="64">
        <v>0.0</v>
      </c>
      <c r="AC3" s="59" t="s">
        <v>150</v>
      </c>
      <c r="AD3" s="64">
        <v>0.12</v>
      </c>
      <c r="AE3" s="65">
        <v>0.0</v>
      </c>
      <c r="AF3" s="60" t="s">
        <v>152</v>
      </c>
      <c r="AG3" s="71">
        <v>0.0</v>
      </c>
      <c r="AH3" s="60" t="s">
        <v>153</v>
      </c>
      <c r="AI3" s="59">
        <v>1.0</v>
      </c>
      <c r="AJ3" s="59">
        <v>1.0</v>
      </c>
      <c r="AK3" s="59">
        <v>1.0</v>
      </c>
      <c r="AL3" s="59">
        <v>0.0</v>
      </c>
      <c r="AM3" s="66">
        <v>43410.0</v>
      </c>
      <c r="AN3" s="60" t="s">
        <v>154</v>
      </c>
      <c r="AO3" s="62">
        <v>48649.147058824</v>
      </c>
      <c r="AP3" s="62">
        <v>60840.058823529</v>
      </c>
      <c r="AQ3" s="59">
        <v>3865.0</v>
      </c>
      <c r="AR3" s="59">
        <v>4824.0</v>
      </c>
      <c r="AS3" s="67">
        <v>379.573529412</v>
      </c>
      <c r="AT3" s="64">
        <v>0.6229749212</v>
      </c>
      <c r="AU3" s="64">
        <v>0.1764428564</v>
      </c>
      <c r="AV3" s="64">
        <v>0.296886</v>
      </c>
      <c r="AW3" s="64">
        <v>0.546668</v>
      </c>
      <c r="AX3" s="64">
        <v>0.021636</v>
      </c>
      <c r="AY3" s="59">
        <v>6214.0</v>
      </c>
      <c r="AZ3" s="59">
        <v>1850.0</v>
      </c>
      <c r="BA3" s="59">
        <v>11.0</v>
      </c>
      <c r="BB3" s="59">
        <v>34.0</v>
      </c>
      <c r="BC3" s="59">
        <v>426.0</v>
      </c>
      <c r="BD3" s="60" t="s">
        <v>155</v>
      </c>
      <c r="BE3" s="68" t="s">
        <v>164</v>
      </c>
      <c r="BF3" s="69">
        <v>9.267241379</v>
      </c>
      <c r="BG3" s="70">
        <v>13124.427058824</v>
      </c>
      <c r="BH3" s="70">
        <v>814.380579035</v>
      </c>
      <c r="BI3" s="70">
        <v>13044.831857836</v>
      </c>
      <c r="BJ3" s="70">
        <v>-12027.682931357</v>
      </c>
      <c r="BK3" s="70">
        <v>-5086.659700072</v>
      </c>
      <c r="BL3" s="70">
        <v>-443.359</v>
      </c>
      <c r="BM3" s="70">
        <v>0.0</v>
      </c>
      <c r="BN3" s="70">
        <v>0.0</v>
      </c>
      <c r="BO3" s="70">
        <v>-102.838</v>
      </c>
      <c r="BP3" s="70">
        <v>802.024</v>
      </c>
      <c r="BQ3" s="70">
        <v>10.720588235</v>
      </c>
      <c r="BR3" s="70">
        <v>9099.394217207</v>
      </c>
      <c r="BS3" s="70">
        <v>7794.283164786</v>
      </c>
      <c r="BT3" s="70">
        <v>4177.292126143</v>
      </c>
      <c r="BU3" s="64">
        <f t="shared" si="3"/>
        <v>-0.00009791456746</v>
      </c>
      <c r="BV3" s="71" t="s">
        <v>157</v>
      </c>
      <c r="BW3" s="71" t="s">
        <v>157</v>
      </c>
      <c r="BX3" s="71">
        <v>0.0</v>
      </c>
      <c r="BY3" s="65" t="s">
        <v>158</v>
      </c>
      <c r="BZ3" s="65" t="s">
        <v>158</v>
      </c>
      <c r="CA3" s="65">
        <f t="shared" si="4"/>
        <v>0.12</v>
      </c>
      <c r="CB3" s="65" t="str">
        <f t="shared" si="5"/>
        <v>#VALUE!</v>
      </c>
      <c r="CC3" s="62" t="str">
        <f t="shared" si="6"/>
        <v>#VALUE!</v>
      </c>
      <c r="CD3" s="60" t="str">
        <f t="shared" si="7"/>
        <v>#VALUE!</v>
      </c>
      <c r="CE3" s="60" t="s">
        <v>158</v>
      </c>
      <c r="CF3" s="60" t="s">
        <v>159</v>
      </c>
      <c r="CG3" s="60" t="s">
        <v>154</v>
      </c>
      <c r="CH3" s="60" t="s">
        <v>154</v>
      </c>
      <c r="CI3" s="59">
        <v>0.0</v>
      </c>
    </row>
    <row r="4" ht="15.75" customHeight="1">
      <c r="A4" s="59" t="s">
        <v>165</v>
      </c>
      <c r="B4" s="60" t="s">
        <v>166</v>
      </c>
      <c r="C4" s="60" t="s">
        <v>147</v>
      </c>
      <c r="D4" s="60" t="s">
        <v>167</v>
      </c>
      <c r="E4" s="59">
        <v>51.0</v>
      </c>
      <c r="F4" s="59">
        <v>7.0</v>
      </c>
      <c r="G4" s="59">
        <v>1.0</v>
      </c>
      <c r="H4" s="8" t="s">
        <v>168</v>
      </c>
      <c r="I4" s="61">
        <v>44683.0</v>
      </c>
      <c r="J4" s="61">
        <v>44683.0</v>
      </c>
      <c r="K4" s="61">
        <v>45048.0</v>
      </c>
      <c r="L4" s="61" t="str">
        <f t="shared" si="1"/>
        <v>2023+</v>
      </c>
      <c r="M4" s="61">
        <v>45048.0</v>
      </c>
      <c r="N4" s="62">
        <v>83652.152941176</v>
      </c>
      <c r="O4" s="62">
        <v>67327.402941176</v>
      </c>
      <c r="P4" s="59">
        <v>3246.0</v>
      </c>
      <c r="Q4" s="63">
        <v>20.741652169</v>
      </c>
      <c r="R4" s="63"/>
      <c r="S4" s="63">
        <v>1.777751103</v>
      </c>
      <c r="T4" s="62">
        <f t="shared" si="2"/>
        <v>4078.744966</v>
      </c>
      <c r="U4" s="63">
        <v>1.256544968</v>
      </c>
      <c r="V4" s="62">
        <v>8047.157794118</v>
      </c>
      <c r="W4" s="59">
        <v>0.0</v>
      </c>
      <c r="X4" s="59">
        <v>0.0</v>
      </c>
      <c r="Y4" s="64">
        <v>0.1195227715</v>
      </c>
      <c r="Z4" s="64">
        <v>0.1195227715</v>
      </c>
      <c r="AA4" s="64">
        <v>0.0</v>
      </c>
      <c r="AB4" s="64">
        <v>0.0</v>
      </c>
      <c r="AC4" s="59" t="s">
        <v>150</v>
      </c>
      <c r="AD4" s="64">
        <v>0.12</v>
      </c>
      <c r="AE4" s="65">
        <v>0.0</v>
      </c>
      <c r="AF4" s="71">
        <v>0.0</v>
      </c>
      <c r="AG4" s="71">
        <v>0.0</v>
      </c>
      <c r="AH4" s="71">
        <v>0.5</v>
      </c>
      <c r="AI4" s="59">
        <v>1.0</v>
      </c>
      <c r="AJ4" s="59">
        <v>1.0</v>
      </c>
      <c r="AK4" s="59">
        <v>1.0</v>
      </c>
      <c r="AL4" s="59">
        <v>0.0</v>
      </c>
      <c r="AM4" s="66">
        <v>43691.0</v>
      </c>
      <c r="AN4" s="60" t="s">
        <v>169</v>
      </c>
      <c r="AO4" s="62">
        <v>32657.485294118</v>
      </c>
      <c r="AP4" s="62">
        <v>34669.917647059</v>
      </c>
      <c r="AQ4" s="59">
        <v>1600.0</v>
      </c>
      <c r="AR4" s="59">
        <v>1646.0</v>
      </c>
      <c r="AS4" s="67">
        <v>505.929411765</v>
      </c>
      <c r="AT4" s="64">
        <v>0.4959777544</v>
      </c>
      <c r="AU4" s="64">
        <v>0.3360875654</v>
      </c>
      <c r="AV4" s="64">
        <v>0.195975</v>
      </c>
      <c r="AW4" s="64">
        <v>0.278239</v>
      </c>
      <c r="AX4" s="64">
        <v>0.037892</v>
      </c>
      <c r="AY4" s="59">
        <v>2886.0</v>
      </c>
      <c r="AZ4" s="59">
        <v>1336.0</v>
      </c>
      <c r="BA4" s="59">
        <v>8.0</v>
      </c>
      <c r="BB4" s="59">
        <v>45.0</v>
      </c>
      <c r="BC4" s="59">
        <v>296.0</v>
      </c>
      <c r="BD4" s="60" t="s">
        <v>155</v>
      </c>
      <c r="BE4" s="68" t="s">
        <v>164</v>
      </c>
      <c r="BF4" s="69">
        <v>6.620398551</v>
      </c>
      <c r="BG4" s="70">
        <v>8047.157794118</v>
      </c>
      <c r="BH4" s="70">
        <v>0.0</v>
      </c>
      <c r="BI4" s="70">
        <v>6052.530480272</v>
      </c>
      <c r="BJ4" s="70">
        <v>-4735.714514163</v>
      </c>
      <c r="BK4" s="70">
        <v>-1776.451785995</v>
      </c>
      <c r="BL4" s="70">
        <v>-516.48</v>
      </c>
      <c r="BM4" s="70">
        <v>0.0</v>
      </c>
      <c r="BN4" s="70">
        <v>0.0</v>
      </c>
      <c r="BO4" s="70">
        <v>-46.383</v>
      </c>
      <c r="BP4" s="70">
        <v>753.29</v>
      </c>
      <c r="BQ4" s="70">
        <v>-26.138235294</v>
      </c>
      <c r="BR4" s="70">
        <v>6903.109209526</v>
      </c>
      <c r="BS4" s="70">
        <v>5547.6393312</v>
      </c>
      <c r="BT4" s="70">
        <v>4142.477716108</v>
      </c>
      <c r="BU4" s="64">
        <f t="shared" si="3"/>
        <v>0.0003882258063</v>
      </c>
      <c r="BV4" s="71" t="s">
        <v>157</v>
      </c>
      <c r="BW4" s="71" t="s">
        <v>157</v>
      </c>
      <c r="BX4" s="71">
        <v>0.0</v>
      </c>
      <c r="BY4" s="65" t="s">
        <v>158</v>
      </c>
      <c r="BZ4" s="65" t="s">
        <v>158</v>
      </c>
      <c r="CA4" s="65">
        <f t="shared" si="4"/>
        <v>0.12</v>
      </c>
      <c r="CB4" s="65" t="str">
        <f t="shared" si="5"/>
        <v>#VALUE!</v>
      </c>
      <c r="CC4" s="62" t="str">
        <f t="shared" si="6"/>
        <v>#VALUE!</v>
      </c>
      <c r="CD4" s="60" t="str">
        <f t="shared" si="7"/>
        <v>#VALUE!</v>
      </c>
      <c r="CE4" s="60" t="s">
        <v>158</v>
      </c>
      <c r="CF4" s="60" t="s">
        <v>159</v>
      </c>
      <c r="CG4" s="60" t="s">
        <v>154</v>
      </c>
      <c r="CH4" s="60" t="s">
        <v>154</v>
      </c>
      <c r="CI4" s="59">
        <v>0.0</v>
      </c>
    </row>
    <row r="5" ht="15.75" customHeight="1">
      <c r="A5" s="59" t="s">
        <v>170</v>
      </c>
      <c r="B5" s="60" t="s">
        <v>171</v>
      </c>
      <c r="C5" s="60" t="s">
        <v>147</v>
      </c>
      <c r="D5" s="60" t="s">
        <v>172</v>
      </c>
      <c r="E5" s="59">
        <v>319.0</v>
      </c>
      <c r="F5" s="59">
        <v>2.0</v>
      </c>
      <c r="G5" s="59">
        <v>1.0</v>
      </c>
      <c r="H5" s="60" t="s">
        <v>173</v>
      </c>
      <c r="I5" s="61">
        <v>43466.0</v>
      </c>
      <c r="J5" s="61">
        <v>43466.0</v>
      </c>
      <c r="K5" s="61">
        <v>44926.0</v>
      </c>
      <c r="L5" s="61" t="str">
        <f t="shared" si="1"/>
        <v>Q4</v>
      </c>
      <c r="M5" s="61">
        <v>44926.0</v>
      </c>
      <c r="N5" s="62">
        <v>10356.102941176</v>
      </c>
      <c r="O5" s="62">
        <v>8539.285294118</v>
      </c>
      <c r="P5" s="59">
        <v>894.0</v>
      </c>
      <c r="Q5" s="63">
        <v>9.55177326</v>
      </c>
      <c r="R5" s="63"/>
      <c r="S5" s="63">
        <v>0.1837168155</v>
      </c>
      <c r="T5" s="62">
        <f t="shared" si="2"/>
        <v>-379.644011</v>
      </c>
      <c r="U5" s="63">
        <v>-0.4246577304</v>
      </c>
      <c r="V5" s="62">
        <v>1026.177</v>
      </c>
      <c r="W5" s="59">
        <v>0.0</v>
      </c>
      <c r="X5" s="59">
        <v>0.0</v>
      </c>
      <c r="Y5" s="64">
        <v>0.1201712983</v>
      </c>
      <c r="Z5" s="64">
        <v>0.1201712983</v>
      </c>
      <c r="AA5" s="64">
        <v>0.0</v>
      </c>
      <c r="AB5" s="64">
        <v>0.0</v>
      </c>
      <c r="AC5" s="59" t="s">
        <v>150</v>
      </c>
      <c r="AD5" s="64">
        <v>0.12</v>
      </c>
      <c r="AE5" s="65">
        <v>0.0</v>
      </c>
      <c r="AF5" s="71">
        <v>-0.01</v>
      </c>
      <c r="AG5" s="71">
        <v>0.0</v>
      </c>
      <c r="AH5" s="71">
        <v>0.5</v>
      </c>
      <c r="AI5" s="59">
        <v>1.0</v>
      </c>
      <c r="AJ5" s="59">
        <v>1.0</v>
      </c>
      <c r="AK5" s="59">
        <v>1.0</v>
      </c>
      <c r="AL5" s="59">
        <v>0.0</v>
      </c>
      <c r="AM5" s="66">
        <v>43677.0</v>
      </c>
      <c r="AN5" s="60" t="s">
        <v>154</v>
      </c>
      <c r="AO5" s="62">
        <v>3768.420588235</v>
      </c>
      <c r="AP5" s="62">
        <v>4770.864705882</v>
      </c>
      <c r="AQ5" s="59">
        <v>435.0</v>
      </c>
      <c r="AR5" s="59">
        <v>459.0</v>
      </c>
      <c r="AS5" s="67">
        <v>233.473529412</v>
      </c>
      <c r="AT5" s="64">
        <v>0.5737713275</v>
      </c>
      <c r="AU5" s="64">
        <v>0.2676102181</v>
      </c>
      <c r="AV5" s="64">
        <v>0.217391</v>
      </c>
      <c r="AW5" s="64">
        <v>0.392953</v>
      </c>
      <c r="AX5" s="64">
        <v>0.041387</v>
      </c>
      <c r="AY5" s="59">
        <v>738.0</v>
      </c>
      <c r="AZ5" s="59">
        <v>390.0</v>
      </c>
      <c r="BA5" s="59">
        <v>1.0</v>
      </c>
      <c r="BB5" s="59">
        <v>20.0</v>
      </c>
      <c r="BC5" s="59">
        <v>57.0</v>
      </c>
      <c r="BD5" s="60" t="s">
        <v>155</v>
      </c>
      <c r="BE5" s="68" t="s">
        <v>164</v>
      </c>
      <c r="BF5" s="69">
        <v>4.225</v>
      </c>
      <c r="BG5" s="70">
        <v>1026.177</v>
      </c>
      <c r="BH5" s="70">
        <v>0.0</v>
      </c>
      <c r="BI5" s="70">
        <v>1274.437097146</v>
      </c>
      <c r="BJ5" s="70">
        <v>-1377.185398039</v>
      </c>
      <c r="BK5" s="70">
        <v>-468.60393527</v>
      </c>
      <c r="BL5" s="70">
        <v>-198.476</v>
      </c>
      <c r="BM5" s="70">
        <v>0.0</v>
      </c>
      <c r="BN5" s="70">
        <v>0.0</v>
      </c>
      <c r="BO5" s="70">
        <v>-14.262</v>
      </c>
      <c r="BP5" s="70">
        <v>126.22</v>
      </c>
      <c r="BQ5" s="70">
        <v>0.0</v>
      </c>
      <c r="BR5" s="70">
        <v>226.862587367</v>
      </c>
      <c r="BS5" s="70">
        <v>-69.235332213</v>
      </c>
      <c r="BT5" s="70">
        <v>-443.587670628</v>
      </c>
      <c r="BU5" s="64">
        <f t="shared" si="3"/>
        <v>0</v>
      </c>
      <c r="BV5" s="71" t="s">
        <v>157</v>
      </c>
      <c r="BW5" s="71" t="s">
        <v>157</v>
      </c>
      <c r="BX5" s="71">
        <v>0.0</v>
      </c>
      <c r="BY5" s="65" t="s">
        <v>158</v>
      </c>
      <c r="BZ5" s="65" t="s">
        <v>158</v>
      </c>
      <c r="CA5" s="65">
        <f t="shared" si="4"/>
        <v>0.12</v>
      </c>
      <c r="CB5" s="65" t="str">
        <f t="shared" si="5"/>
        <v>#VALUE!</v>
      </c>
      <c r="CC5" s="62" t="str">
        <f t="shared" si="6"/>
        <v>#VALUE!</v>
      </c>
      <c r="CD5" s="60" t="str">
        <f t="shared" si="7"/>
        <v>#VALUE!</v>
      </c>
      <c r="CE5" s="60" t="s">
        <v>158</v>
      </c>
      <c r="CF5" s="60" t="s">
        <v>159</v>
      </c>
      <c r="CG5" s="60" t="s">
        <v>154</v>
      </c>
      <c r="CH5" s="60" t="s">
        <v>154</v>
      </c>
      <c r="CI5" s="59">
        <v>0.0</v>
      </c>
    </row>
    <row r="6" ht="15.75" customHeight="1">
      <c r="A6" s="59" t="s">
        <v>174</v>
      </c>
      <c r="B6" s="60" t="s">
        <v>175</v>
      </c>
      <c r="C6" s="60" t="s">
        <v>147</v>
      </c>
      <c r="D6" s="60" t="s">
        <v>148</v>
      </c>
      <c r="E6" s="59">
        <v>506.0</v>
      </c>
      <c r="F6" s="59">
        <v>4.0</v>
      </c>
      <c r="G6" s="59">
        <v>3.0</v>
      </c>
      <c r="H6" s="60" t="s">
        <v>176</v>
      </c>
      <c r="I6" s="61">
        <v>43466.0</v>
      </c>
      <c r="J6" s="61">
        <v>44536.0</v>
      </c>
      <c r="K6" s="61">
        <v>44926.0</v>
      </c>
      <c r="L6" s="61" t="str">
        <f t="shared" si="1"/>
        <v>Q4</v>
      </c>
      <c r="M6" s="61">
        <v>45997.0</v>
      </c>
      <c r="N6" s="62">
        <v>5827.314705882</v>
      </c>
      <c r="O6" s="62">
        <v>4754.617647059</v>
      </c>
      <c r="P6" s="59">
        <v>417.0</v>
      </c>
      <c r="Q6" s="63">
        <v>11.401960784</v>
      </c>
      <c r="R6" s="62">
        <f>S6*P6</f>
        <v>-8.667546999</v>
      </c>
      <c r="S6" s="63">
        <v>-0.02078548441</v>
      </c>
      <c r="T6" s="62">
        <f t="shared" si="2"/>
        <v>-259.08261</v>
      </c>
      <c r="U6" s="63">
        <v>-0.621301223</v>
      </c>
      <c r="V6" s="62">
        <v>571.543235294</v>
      </c>
      <c r="W6" s="59">
        <v>0.0</v>
      </c>
      <c r="X6" s="59">
        <v>0.0</v>
      </c>
      <c r="Y6" s="64">
        <v>0.1202080331</v>
      </c>
      <c r="Z6" s="64">
        <v>0.1202080331</v>
      </c>
      <c r="AA6" s="64">
        <v>0.0</v>
      </c>
      <c r="AB6" s="64">
        <v>0.0</v>
      </c>
      <c r="AC6" s="59" t="s">
        <v>150</v>
      </c>
      <c r="AD6" s="64">
        <v>0.12</v>
      </c>
      <c r="AE6" s="65">
        <v>0.0</v>
      </c>
      <c r="AF6" s="60" t="s">
        <v>152</v>
      </c>
      <c r="AG6" s="71">
        <v>0.0</v>
      </c>
      <c r="AH6" s="60" t="s">
        <v>153</v>
      </c>
      <c r="AI6" s="59">
        <v>1.0</v>
      </c>
      <c r="AJ6" s="59">
        <v>1.0</v>
      </c>
      <c r="AK6" s="59">
        <v>1.0</v>
      </c>
      <c r="AL6" s="59">
        <v>0.0</v>
      </c>
      <c r="AM6" s="66">
        <v>43685.0</v>
      </c>
      <c r="AN6" s="60" t="s">
        <v>154</v>
      </c>
      <c r="AO6" s="62">
        <v>2952.058823529</v>
      </c>
      <c r="AP6" s="62">
        <v>1802.558823529</v>
      </c>
      <c r="AQ6" s="59">
        <v>286.0</v>
      </c>
      <c r="AR6" s="59">
        <v>131.0</v>
      </c>
      <c r="AS6" s="67">
        <v>312.158823529</v>
      </c>
      <c r="AT6" s="64">
        <v>0.4718756379</v>
      </c>
      <c r="AU6" s="64">
        <v>0.3709397057</v>
      </c>
      <c r="AV6" s="64">
        <v>0.09913</v>
      </c>
      <c r="AW6" s="64">
        <v>0.30102</v>
      </c>
      <c r="AX6" s="64">
        <v>0.047961</v>
      </c>
      <c r="AY6" s="59">
        <v>392.0</v>
      </c>
      <c r="AZ6" s="59">
        <v>227.0</v>
      </c>
      <c r="BA6" s="59">
        <v>0.0</v>
      </c>
      <c r="BB6" s="59">
        <v>15.0</v>
      </c>
      <c r="BC6" s="59">
        <v>53.0</v>
      </c>
      <c r="BD6" s="60" t="s">
        <v>155</v>
      </c>
      <c r="BE6" s="68" t="s">
        <v>164</v>
      </c>
      <c r="BF6" s="69">
        <v>3.715892857</v>
      </c>
      <c r="BG6" s="70">
        <v>571.543235294</v>
      </c>
      <c r="BH6" s="70">
        <v>0.0</v>
      </c>
      <c r="BI6" s="70">
        <v>747.494749292</v>
      </c>
      <c r="BJ6" s="70">
        <v>-627.874364708</v>
      </c>
      <c r="BK6" s="70">
        <v>-268.083233391</v>
      </c>
      <c r="BL6" s="70">
        <v>-148.235</v>
      </c>
      <c r="BM6" s="70">
        <v>0.0</v>
      </c>
      <c r="BN6" s="70">
        <v>0.0</v>
      </c>
      <c r="BO6" s="70">
        <v>-4.506</v>
      </c>
      <c r="BP6" s="70">
        <v>70.709</v>
      </c>
      <c r="BQ6" s="70">
        <v>0.0</v>
      </c>
      <c r="BR6" s="70">
        <v>238.986445311</v>
      </c>
      <c r="BS6" s="70">
        <v>-164.607114155</v>
      </c>
      <c r="BT6" s="70">
        <v>-341.037919272</v>
      </c>
      <c r="BU6" s="64">
        <f t="shared" si="3"/>
        <v>0</v>
      </c>
      <c r="BV6" s="71" t="s">
        <v>157</v>
      </c>
      <c r="BW6" s="71" t="s">
        <v>157</v>
      </c>
      <c r="BX6" s="71">
        <v>0.0</v>
      </c>
      <c r="BY6" s="65" t="s">
        <v>158</v>
      </c>
      <c r="BZ6" s="65" t="s">
        <v>158</v>
      </c>
      <c r="CA6" s="65">
        <f t="shared" si="4"/>
        <v>0.12</v>
      </c>
      <c r="CB6" s="65" t="str">
        <f t="shared" si="5"/>
        <v>#VALUE!</v>
      </c>
      <c r="CC6" s="62" t="str">
        <f t="shared" si="6"/>
        <v>#VALUE!</v>
      </c>
      <c r="CD6" s="60" t="str">
        <f t="shared" si="7"/>
        <v>#VALUE!</v>
      </c>
      <c r="CE6" s="60" t="s">
        <v>158</v>
      </c>
      <c r="CF6" s="60" t="s">
        <v>159</v>
      </c>
      <c r="CG6" s="60" t="s">
        <v>154</v>
      </c>
      <c r="CH6" s="60" t="s">
        <v>154</v>
      </c>
      <c r="CI6" s="59">
        <v>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2024-03-06T22:25:43Z</dcterms:created>
  <dc:creator>user</dc:creator>
</cp:coreProperties>
</file>